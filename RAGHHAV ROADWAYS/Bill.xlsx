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sagastya/Desktop/RAGHHAV ROADWAYS/"/>
    </mc:Choice>
  </mc:AlternateContent>
  <xr:revisionPtr revIDLastSave="0" documentId="13_ncr:1_{F908750C-990A-184C-BE07-5D2BDAF25A36}" xr6:coauthVersionLast="47" xr6:coauthVersionMax="47" xr10:uidLastSave="{00000000-0000-0000-0000-000000000000}"/>
  <bookViews>
    <workbookView xWindow="0" yWindow="0" windowWidth="28800" windowHeight="18000" xr2:uid="{E4B4CB93-F506-1346-AABA-A523816D5439}"/>
  </bookViews>
  <sheets>
    <sheet name="Bill Details" sheetId="1" r:id="rId1"/>
    <sheet name="Order Details" sheetId="2" r:id="rId2"/>
    <sheet name="INVOIC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4" i="1" l="1"/>
  <c r="F173" i="1"/>
  <c r="F172" i="1"/>
  <c r="F171" i="1"/>
  <c r="F170" i="1"/>
  <c r="F169" i="1"/>
  <c r="F168" i="1"/>
  <c r="F167" i="1"/>
  <c r="F166" i="1"/>
  <c r="F165" i="1"/>
  <c r="F164" i="1"/>
  <c r="F163" i="1"/>
  <c r="F162" i="1"/>
  <c r="I15" i="5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J3" i="1" l="1"/>
</calcChain>
</file>

<file path=xl/sharedStrings.xml><?xml version="1.0" encoding="utf-8"?>
<sst xmlns="http://schemas.openxmlformats.org/spreadsheetml/2006/main" count="2058" uniqueCount="474">
  <si>
    <t>Bill No</t>
  </si>
  <si>
    <t>GR No</t>
  </si>
  <si>
    <t>Date</t>
  </si>
  <si>
    <t>Vehicle No</t>
  </si>
  <si>
    <t>Load From</t>
  </si>
  <si>
    <t>Destination</t>
  </si>
  <si>
    <t>Contents</t>
  </si>
  <si>
    <t>Qty in MT</t>
  </si>
  <si>
    <t>Rate MT</t>
  </si>
  <si>
    <t>Amount</t>
  </si>
  <si>
    <t>Extra Content</t>
  </si>
  <si>
    <t>Extra Charges</t>
  </si>
  <si>
    <t>GR Charge</t>
  </si>
  <si>
    <t>Bill Date</t>
  </si>
  <si>
    <t>Party Name</t>
  </si>
  <si>
    <t>Party Address</t>
  </si>
  <si>
    <t>Party GST No</t>
  </si>
  <si>
    <t>Total Amount</t>
  </si>
  <si>
    <t>GJ 01 DT 6355</t>
  </si>
  <si>
    <t>Bengaluru [KA]</t>
  </si>
  <si>
    <t>Sanand, Ahmedabad [GJ]</t>
  </si>
  <si>
    <t>FT L</t>
  </si>
  <si>
    <t>FIXED</t>
  </si>
  <si>
    <t>Toyota Electric, Forklift</t>
  </si>
  <si>
    <t>WATRANA RENTALS LIMITED</t>
  </si>
  <si>
    <t>H-9 SITE-V, UPSIDC INDUSTRIAL AREA KASNA GREATER NOIDA U.P. INDIA - 201306</t>
  </si>
  <si>
    <t>09AACCW5475C1Z7</t>
  </si>
  <si>
    <t>GJ 06 BX 3393</t>
  </si>
  <si>
    <t>Vadodara [GJ]</t>
  </si>
  <si>
    <t>Pune [MH]</t>
  </si>
  <si>
    <t>Traction Battery</t>
  </si>
  <si>
    <t>P2 POWER SOLUTIONS PVT LTD</t>
  </si>
  <si>
    <t>A-95, SECTOR-80, NOIDA, UTTAR PRADESH, 201301</t>
  </si>
  <si>
    <t>09AAECP0915G2ZK</t>
  </si>
  <si>
    <t>CORRIT ON DEMAND SOLUTIONS PVT LTD</t>
  </si>
  <si>
    <t>F13/11 ROOM NO.201, SECTOR 27 DLF PHASE 1, GURGAON HARYANA - 122002</t>
  </si>
  <si>
    <t>06AAGCC1825N1ZK</t>
  </si>
  <si>
    <t>GJ 01 LT 5660</t>
  </si>
  <si>
    <t>Kheda [GJ]</t>
  </si>
  <si>
    <t>Forklift</t>
  </si>
  <si>
    <t>DL 01 GE 4283</t>
  </si>
  <si>
    <t>Greater Noida [UP]</t>
  </si>
  <si>
    <t>Subject to Surat Jurisdiction</t>
  </si>
  <si>
    <t>Party Name &amp; Address</t>
  </si>
  <si>
    <t>BRANCH</t>
  </si>
  <si>
    <t>SURAT</t>
  </si>
  <si>
    <t>BILL NO.</t>
  </si>
  <si>
    <t>Party GST No.</t>
  </si>
  <si>
    <t>DATE</t>
  </si>
  <si>
    <t>GR No.</t>
  </si>
  <si>
    <t>VEHICLE NO.</t>
  </si>
  <si>
    <t>LOAD FROM</t>
  </si>
  <si>
    <t>DESTINATION</t>
  </si>
  <si>
    <t>CONTENTS</t>
  </si>
  <si>
    <t>QTY IN MT.</t>
  </si>
  <si>
    <t>RATE MT.</t>
  </si>
  <si>
    <t>AMOUNT</t>
  </si>
  <si>
    <t>TOTAL</t>
  </si>
  <si>
    <t>RUPEES</t>
  </si>
  <si>
    <t>BANK DETAILS</t>
  </si>
  <si>
    <t>Person liable for paying GST Tax Paid by Party</t>
  </si>
  <si>
    <t>For RAGHHAV ROADWAYS</t>
  </si>
  <si>
    <t>BANK NAME</t>
  </si>
  <si>
    <t>AXIS BANK</t>
  </si>
  <si>
    <t>A/C No.</t>
  </si>
  <si>
    <t>924020013795444</t>
  </si>
  <si>
    <t>Billing Incharge/Auth. Signatory</t>
  </si>
  <si>
    <t>IFSC Code</t>
  </si>
  <si>
    <t>UTIB0005605</t>
  </si>
  <si>
    <t>Please Pay by A/c. Payee Cheque Only</t>
  </si>
  <si>
    <t>STATION ROAD SACHIN</t>
  </si>
  <si>
    <t>MH 03 EG 6396</t>
  </si>
  <si>
    <t>Bellary [KA]</t>
  </si>
  <si>
    <t>GJ 03 BW 9591</t>
  </si>
  <si>
    <t>Jamnagar [GJ]</t>
  </si>
  <si>
    <t>HR 63 E 3408</t>
  </si>
  <si>
    <t>Alandur [TN]</t>
  </si>
  <si>
    <t>Active Harmonic Filter</t>
  </si>
  <si>
    <t>GJ 01 HT 3274</t>
  </si>
  <si>
    <t>Chennai [TN]</t>
  </si>
  <si>
    <t>Mehsana [GJ]</t>
  </si>
  <si>
    <t>Dingliself</t>
  </si>
  <si>
    <t>MH 14 LL 4809</t>
  </si>
  <si>
    <t>Ahmedabad [GJ]</t>
  </si>
  <si>
    <t>APFC Panel Set</t>
  </si>
  <si>
    <t>One day detention @Loading Point</t>
  </si>
  <si>
    <t>Four day detention @Unloading Point</t>
  </si>
  <si>
    <t>HR 38 AC 4573</t>
  </si>
  <si>
    <t>HR 38 AC 9312</t>
  </si>
  <si>
    <t>Three day detention @Unloading Point</t>
  </si>
  <si>
    <t>Two day detention @Unloading Point</t>
  </si>
  <si>
    <t>HR 38 X 0653</t>
  </si>
  <si>
    <t>HR 38 W 3731</t>
  </si>
  <si>
    <t>RJ 06 GB 7991</t>
  </si>
  <si>
    <t>RJ 06 GB 7674</t>
  </si>
  <si>
    <t>HR 38 Z 1062</t>
  </si>
  <si>
    <t>GJ 23 AT 7749</t>
  </si>
  <si>
    <t>Bharuch [GJ]</t>
  </si>
  <si>
    <t>MH 02 ER 4346</t>
  </si>
  <si>
    <t>Bhiwandi [MH]</t>
  </si>
  <si>
    <t>RJ 14 GL 0649</t>
  </si>
  <si>
    <t>Gurugram [HR]</t>
  </si>
  <si>
    <t>Bhiwadi [RJ]</t>
  </si>
  <si>
    <t>AC Cable</t>
  </si>
  <si>
    <t>GJ 06 BX 7219</t>
  </si>
  <si>
    <t>Kancheepuram [TN]</t>
  </si>
  <si>
    <t>RJ 01 GB 8253</t>
  </si>
  <si>
    <t>BELECTRIQ MOBILITY PVT LTD</t>
  </si>
  <si>
    <t>09AAMCP7228G1Z1</t>
  </si>
  <si>
    <t>WATRANA TRACTION COMPANY</t>
  </si>
  <si>
    <t>09AABFW2154N1ZT</t>
  </si>
  <si>
    <t>WATRANA TRACTION PVT. LTD.</t>
  </si>
  <si>
    <t>G-3, SITE-V, UPSIDC INDL. AREA, KASNA GAUTAM BUDH NAGAR GREATER NOIDA-201306 U.P. INDIA</t>
  </si>
  <si>
    <t>09AAACW5134G1ZD</t>
  </si>
  <si>
    <t>UP 87 T 9570</t>
  </si>
  <si>
    <t>EV Charger</t>
  </si>
  <si>
    <t>Ramnager [UK]</t>
  </si>
  <si>
    <t>GJ 16 AV 3659</t>
  </si>
  <si>
    <t>Electric Palette</t>
  </si>
  <si>
    <t>Battery Charger</t>
  </si>
  <si>
    <t>One day detention @Unloading Point</t>
  </si>
  <si>
    <t>UP 16 HT 7812</t>
  </si>
  <si>
    <t>Hazira, Surat [GJ]</t>
  </si>
  <si>
    <t>DD 01 H 9273</t>
  </si>
  <si>
    <t>Vapi [GJ]</t>
  </si>
  <si>
    <t>MH 48 AY 5681</t>
  </si>
  <si>
    <t>Kutch [GJ]</t>
  </si>
  <si>
    <t>Unloading Charge</t>
  </si>
  <si>
    <t>GJ 27 TT 8692</t>
  </si>
  <si>
    <t>Thiruvallur [TN]</t>
  </si>
  <si>
    <t>Traction Charger</t>
  </si>
  <si>
    <t>MH 14 DM 2186</t>
  </si>
  <si>
    <t>BOPT 2T Hangcha</t>
  </si>
  <si>
    <t>Vehicle Cancellation Charge</t>
  </si>
  <si>
    <t>GJ 06 AZ 9486</t>
  </si>
  <si>
    <t>Halol [GJ]</t>
  </si>
  <si>
    <t>Reach Truck</t>
  </si>
  <si>
    <t>UP 78 HT 7322</t>
  </si>
  <si>
    <t>Guwahati [AS]</t>
  </si>
  <si>
    <t>UP 14 HT 8388</t>
  </si>
  <si>
    <t>Lucknow [UP]</t>
  </si>
  <si>
    <t>UP 14 JT 3270</t>
  </si>
  <si>
    <t>Ghaziabad [UP]</t>
  </si>
  <si>
    <t>Almora [UK]</t>
  </si>
  <si>
    <t>Wedding Sofa Chair</t>
  </si>
  <si>
    <t>HR 63 E 1698</t>
  </si>
  <si>
    <t>Najafgarh [DL]</t>
  </si>
  <si>
    <t>Double Deep Reach Truck</t>
  </si>
  <si>
    <t>HR 47 E 7741</t>
  </si>
  <si>
    <t>Solar Mounting Structure</t>
  </si>
  <si>
    <t>TN 24 AE 3193</t>
  </si>
  <si>
    <t>Guntur [AP]</t>
  </si>
  <si>
    <t>GJ 06 XX 4473</t>
  </si>
  <si>
    <t>Dahej [GJ]</t>
  </si>
  <si>
    <t>MH 14 JL 7599</t>
  </si>
  <si>
    <t>Ankleshwar [GJ]</t>
  </si>
  <si>
    <t>GJ 01 KT 5487</t>
  </si>
  <si>
    <t>HR 57 A 0606</t>
  </si>
  <si>
    <t>Rajpura [PB]</t>
  </si>
  <si>
    <t>UP 32 PN 7519</t>
  </si>
  <si>
    <t>Kakinada [AP]</t>
  </si>
  <si>
    <t>MP 07 NG 0586</t>
  </si>
  <si>
    <t>Nagpur [MH]</t>
  </si>
  <si>
    <t>MH 48 CB 9987</t>
  </si>
  <si>
    <t>Aslali, Ahmedabad [GJ]</t>
  </si>
  <si>
    <t>GJ 06 AZ 9322</t>
  </si>
  <si>
    <t>Nashik [MH]</t>
  </si>
  <si>
    <t>UP 50 BT 9174</t>
  </si>
  <si>
    <t>Meerut [UP]</t>
  </si>
  <si>
    <t>Mumbai [MH]</t>
  </si>
  <si>
    <t>MS Round</t>
  </si>
  <si>
    <t>A-95, SECTOR 80, PHASE-2 NOIDA, GAUTAMBUDDHA NAGAR, U.P.201305</t>
  </si>
  <si>
    <t>GOLJIU EVENT</t>
  </si>
  <si>
    <t>VILLAGE PIPALDHAR POST OFFICE GANAI CHAUKHUTIA DISTRICT, ALMORA, UTTARAKHAND</t>
  </si>
  <si>
    <t>UN-REGISTERED</t>
  </si>
  <si>
    <t>INTERNATIONAL STEELS</t>
  </si>
  <si>
    <t>24 REAT BANDER DARUKHANA, MUMBAI - 400010</t>
  </si>
  <si>
    <t>27AGGPD4879C1ZF</t>
  </si>
  <si>
    <t>INTERNATIONAL STEELS &amp; ALLOYS</t>
  </si>
  <si>
    <t>27AAZHS4206H1ZN</t>
  </si>
  <si>
    <t>GJ 01 HT 2315</t>
  </si>
  <si>
    <t>Forkset</t>
  </si>
  <si>
    <t>KA 05 A 1335</t>
  </si>
  <si>
    <t>Hobli, Bengaluru [KA]</t>
  </si>
  <si>
    <t>Bidadi, Bengaluru [KA]</t>
  </si>
  <si>
    <t>GJ 01 JT 5088</t>
  </si>
  <si>
    <t>GJ 08 AW 0515</t>
  </si>
  <si>
    <t>Kotambi, Vadodara [GJ]</t>
  </si>
  <si>
    <t>GJ 06 BX 7504</t>
  </si>
  <si>
    <t>Goa [GA]</t>
  </si>
  <si>
    <t>PRC Attachment</t>
  </si>
  <si>
    <t>DM Water Plant Set</t>
  </si>
  <si>
    <t>RJ 09 GB 9934</t>
  </si>
  <si>
    <t>GJ 05 BT 4782</t>
  </si>
  <si>
    <t>Jhagadia, Bharuch [GJ]</t>
  </si>
  <si>
    <t>GJ 06 BV 9225</t>
  </si>
  <si>
    <t>Battery</t>
  </si>
  <si>
    <t>TN 29 BP 9072</t>
  </si>
  <si>
    <t>Coimbatore [TN]</t>
  </si>
  <si>
    <t>Electric Palette Truck</t>
  </si>
  <si>
    <t>MH 48 AG 6586</t>
  </si>
  <si>
    <t>GJ 39 T 7364</t>
  </si>
  <si>
    <t>MH 12 PQ 9468</t>
  </si>
  <si>
    <t>Preparation Tank</t>
  </si>
  <si>
    <t>AQUA LEAD SYSTEMS</t>
  </si>
  <si>
    <t>PLOT NO.11, VALASARAVAKKAM,EAST KAMAKOTI NAGAR,3RD STREET,Village/Town:- VALASARAVAKKAM, City:- CHENNAI,Tiruvallur,TAMIL NADU-600087</t>
  </si>
  <si>
    <t>33ABBFA4935C1Z0</t>
  </si>
  <si>
    <t>KA 41 B 2724</t>
  </si>
  <si>
    <t>GJ 27 TD 1640</t>
  </si>
  <si>
    <t>TN 23 DB 8763</t>
  </si>
  <si>
    <t>Kanchipuram  [TN]</t>
  </si>
  <si>
    <t>RJ 30 GA 5761</t>
  </si>
  <si>
    <t>Aligarh [UP]</t>
  </si>
  <si>
    <t>Articulating Forklift</t>
  </si>
  <si>
    <t>RJ 32 GB 4302</t>
  </si>
  <si>
    <t>Mundra, Kutch [GJ]</t>
  </si>
  <si>
    <t>GJ 06 BX 6486</t>
  </si>
  <si>
    <t>Dahej - Bharuch [GJ]</t>
  </si>
  <si>
    <t>Tour Truck</t>
  </si>
  <si>
    <t>HR 55 AU 8257</t>
  </si>
  <si>
    <t>Tirupati [AP]</t>
  </si>
  <si>
    <t>HPFC Panel</t>
  </si>
  <si>
    <t>MH 48 BM 5353</t>
  </si>
  <si>
    <t>GJ 06 BT 7427</t>
  </si>
  <si>
    <t>GJ 06 AZ 9586</t>
  </si>
  <si>
    <t>GJ 05 CY 0278</t>
  </si>
  <si>
    <t>Himmatnagar [GJ]</t>
  </si>
  <si>
    <t>MH 14 GD 2242</t>
  </si>
  <si>
    <t>Panvel - Pune [MH]</t>
  </si>
  <si>
    <t>UP 14 KT 8016</t>
  </si>
  <si>
    <t>Jammu [J&amp;K]</t>
  </si>
  <si>
    <t>GJ 06 BV 4108</t>
  </si>
  <si>
    <t>Indore [MP]</t>
  </si>
  <si>
    <t>Kalol, Panchmahal [GJ]</t>
  </si>
  <si>
    <t>RJ 09 GE 5549</t>
  </si>
  <si>
    <t>KA 52 A 4922</t>
  </si>
  <si>
    <t>GJ 06 BV 3156</t>
  </si>
  <si>
    <t>Valsad [GJ]</t>
  </si>
  <si>
    <t>MH 14 BF 7162</t>
  </si>
  <si>
    <t>TN 29 CW 3904</t>
  </si>
  <si>
    <t>Sivakasi [TN]</t>
  </si>
  <si>
    <t>AP 39 WC 2563</t>
  </si>
  <si>
    <t>Nellore [AP]</t>
  </si>
  <si>
    <t>RJ 01 GC 1981</t>
  </si>
  <si>
    <t>Karjan, Vadodara</t>
  </si>
  <si>
    <t>DL 01 LAQ 2216</t>
  </si>
  <si>
    <t>UP 15 ET 1042</t>
  </si>
  <si>
    <t>Surajpur, Greater Noida [UP]</t>
  </si>
  <si>
    <t>Patnagar [UK]</t>
  </si>
  <si>
    <t>DC Cable</t>
  </si>
  <si>
    <t>Halol, Panchmahal [GJ]</t>
  </si>
  <si>
    <t>UP 37 AT 9034</t>
  </si>
  <si>
    <t>Laddar Cable Tray</t>
  </si>
  <si>
    <t>RJ 36 GA 8045</t>
  </si>
  <si>
    <t>Nawanshahr [PB]</t>
  </si>
  <si>
    <t>Rajpura, Patiala [PB]</t>
  </si>
  <si>
    <t>MH 02 FG 7721</t>
  </si>
  <si>
    <t>Six day detention</t>
  </si>
  <si>
    <t>GJ 06 BV 4051</t>
  </si>
  <si>
    <t>Ludhiana [PB]</t>
  </si>
  <si>
    <t>GJ 06 BX 8972</t>
  </si>
  <si>
    <t>GJ 23 AT 1467</t>
  </si>
  <si>
    <t>KA 51 AD 9888</t>
  </si>
  <si>
    <t>Erode [TN}</t>
  </si>
  <si>
    <t>GJ 01 ET 5579</t>
  </si>
  <si>
    <t>Manjusar, Vadodara [GJ}</t>
  </si>
  <si>
    <t>Panchmahal [GJ]</t>
  </si>
  <si>
    <t>GJ 02 AT 0748</t>
  </si>
  <si>
    <t>Mehsana, Ahmedabad [GJ]</t>
  </si>
  <si>
    <t>MH 48 AY 7769</t>
  </si>
  <si>
    <t>Electric Platform Tow</t>
  </si>
  <si>
    <t>GJ 06 AX 4473</t>
  </si>
  <si>
    <t>Gandhidham [GJ]</t>
  </si>
  <si>
    <t>Morbi [GJ]</t>
  </si>
  <si>
    <t>Over Height Charge</t>
  </si>
  <si>
    <t>Waghodia [GJ]</t>
  </si>
  <si>
    <t>GJ 05 CW 8132</t>
  </si>
  <si>
    <t>Surat [GJ]</t>
  </si>
  <si>
    <t>GJ 27 TG 2081</t>
  </si>
  <si>
    <t>GJ 06 BX 3365</t>
  </si>
  <si>
    <t>Mohali [PB]</t>
  </si>
  <si>
    <t>Auto Chlorination System</t>
  </si>
  <si>
    <t>Mathura [UP]</t>
  </si>
  <si>
    <t>Agra [UP]</t>
  </si>
  <si>
    <t>17/09/2025</t>
  </si>
  <si>
    <t>GJ 06 YY 8364</t>
  </si>
  <si>
    <t xml:space="preserve">Manjusar Vadodara </t>
  </si>
  <si>
    <t xml:space="preserve">Reach Truck </t>
  </si>
  <si>
    <t/>
  </si>
  <si>
    <t xml:space="preserve">Articulating Forklift </t>
  </si>
  <si>
    <t>19/09/2025</t>
  </si>
  <si>
    <t>WB 03 D 2388</t>
  </si>
  <si>
    <t>Khurda [OD]</t>
  </si>
  <si>
    <t>Howrah[WB]</t>
  </si>
  <si>
    <t xml:space="preserve">Traction Battery </t>
  </si>
  <si>
    <t>MH 48 CB 5344</t>
  </si>
  <si>
    <t>HR 73 A 1956</t>
  </si>
  <si>
    <t>Muzaffarpur[BH]</t>
  </si>
  <si>
    <t>DN 09 N 9636</t>
  </si>
  <si>
    <t>11322 Kg</t>
  </si>
  <si>
    <t>11343 Kg</t>
  </si>
  <si>
    <t xml:space="preserve"> KA 52 A 8227</t>
  </si>
  <si>
    <t>Bangalore [KA]</t>
  </si>
  <si>
    <t>Bangaluru [KA]</t>
  </si>
  <si>
    <t>KA 52 A 8227</t>
  </si>
  <si>
    <t>TN 23 CM 5070</t>
  </si>
  <si>
    <t>UP 14 GT 3697</t>
  </si>
  <si>
    <t>Roorkee [UK]</t>
  </si>
  <si>
    <t>Active Power Filter</t>
  </si>
  <si>
    <t>MG Kraft Paper</t>
  </si>
  <si>
    <t>11004 Kg</t>
  </si>
  <si>
    <t>24AADCS3796F1Z8</t>
  </si>
  <si>
    <t>SACHIN PAPER MILLS PVT.LTD.</t>
  </si>
  <si>
    <t>PLOT  NO. B21/8-9, SUSML, VANZ GAM, HOJIWALA IND. ESTATE, SACHIN, SURAT, GUJARAT -394230</t>
  </si>
  <si>
    <t>40 Km Away from Unloading Point</t>
  </si>
  <si>
    <t xml:space="preserve">VISHAL AGENCIES </t>
  </si>
  <si>
    <t>12.RAJHANS CHAR RASTA G.I.D.C. VAPI GUJARAT-396195</t>
  </si>
  <si>
    <t>24AACFV0562G1ZG</t>
  </si>
  <si>
    <t>Bareilly [UP]</t>
  </si>
  <si>
    <t>Kotambi vadodara [GJ]</t>
  </si>
  <si>
    <t>Kanpur [UP]</t>
  </si>
  <si>
    <t>UP 16 CM 2680</t>
  </si>
  <si>
    <t>Sonipat [HR]</t>
  </si>
  <si>
    <t>CORONET ENGINEERS PVT LTD</t>
  </si>
  <si>
    <t>KHASRA NO . 24/24/3.27. SOUTH  ZONE NATHUPUR INDUSTRIAL AREA , VILLAGE - NATHUPUR, SONIPAT, HARYANA -131029</t>
  </si>
  <si>
    <t>06AABCC5436C1Z5</t>
  </si>
  <si>
    <t>Daman [GJ]</t>
  </si>
  <si>
    <t>10828 kg</t>
  </si>
  <si>
    <t>10078kg</t>
  </si>
  <si>
    <t>MH  12 WX 8748</t>
  </si>
  <si>
    <t>Panvel  [MH]</t>
  </si>
  <si>
    <t>UP 14 GT 4215</t>
  </si>
  <si>
    <t>GJ 23 AW 7073</t>
  </si>
  <si>
    <t>PUNE [MH]</t>
  </si>
  <si>
    <t>GJ 07 YY 3502</t>
  </si>
  <si>
    <t>MH 04 MH 9749</t>
  </si>
  <si>
    <t>11255kg</t>
  </si>
  <si>
    <t>DN 09 U 9050</t>
  </si>
  <si>
    <t>10003kg</t>
  </si>
  <si>
    <t>10270Kg</t>
  </si>
  <si>
    <t xml:space="preserve">Sarigam [GJ] </t>
  </si>
  <si>
    <t>11204Kg</t>
  </si>
  <si>
    <t>11174kg</t>
  </si>
  <si>
    <t>11114kg</t>
  </si>
  <si>
    <t>RJ 06 GE 0017</t>
  </si>
  <si>
    <t>Kankroli [RJ]</t>
  </si>
  <si>
    <t>GJ 01 DV 3008</t>
  </si>
  <si>
    <t>Karjan [GJ]</t>
  </si>
  <si>
    <t>10918kg</t>
  </si>
  <si>
    <t>11042kg</t>
  </si>
  <si>
    <t>11352kg</t>
  </si>
  <si>
    <t>10058kg</t>
  </si>
  <si>
    <t>10202kg</t>
  </si>
  <si>
    <t>Dadra [GJ]</t>
  </si>
  <si>
    <t>11012kg</t>
  </si>
  <si>
    <t>GJ 18 U 8046</t>
  </si>
  <si>
    <t>TN 11 AJ 4753</t>
  </si>
  <si>
    <t>Hosur [TN]</t>
  </si>
  <si>
    <t>10511KG</t>
  </si>
  <si>
    <t>10747kg</t>
  </si>
  <si>
    <t>25/112025</t>
  </si>
  <si>
    <t>DD 01 P 9818</t>
  </si>
  <si>
    <t>10695KG</t>
  </si>
  <si>
    <t>Silvasa [GJ]</t>
  </si>
  <si>
    <t>10646KG</t>
  </si>
  <si>
    <t>10097KG</t>
  </si>
  <si>
    <t>11196KG</t>
  </si>
  <si>
    <t>Dholera [GJ]</t>
  </si>
  <si>
    <t>AP 39 TK 3978</t>
  </si>
  <si>
    <t xml:space="preserve"> Chittoor [AP]</t>
  </si>
  <si>
    <t>Chittoor [AP]</t>
  </si>
  <si>
    <t>TN 88 L 8519</t>
  </si>
  <si>
    <t>Mysore [KA]</t>
  </si>
  <si>
    <t>Push-Pull Attachment</t>
  </si>
  <si>
    <t>GJ 12 CT 5616</t>
  </si>
  <si>
    <t>RJ 09 GC 6191</t>
  </si>
  <si>
    <t>SWATI PACKAGING</t>
  </si>
  <si>
    <t>P.NO 3627 4TH PHASE G.I.D.C VAPI GUJARAT - 396195</t>
  </si>
  <si>
    <t>24AOEPK9737J1ZL</t>
  </si>
  <si>
    <t>MAA ASHAPURA PAPER TUBE</t>
  </si>
  <si>
    <t>24AAZFM8602P1ZE</t>
  </si>
  <si>
    <t>SURVEY NO 149 B/H.P.T.C.COLLEGE BORLAI, BORLAI, GUJARAT - 396105</t>
  </si>
  <si>
    <t>11694KG</t>
  </si>
  <si>
    <t>10841KG</t>
  </si>
  <si>
    <t>11221KG</t>
  </si>
  <si>
    <t>10967KG</t>
  </si>
  <si>
    <t>10732KG</t>
  </si>
  <si>
    <t>10512KG</t>
  </si>
  <si>
    <t>11046KG</t>
  </si>
  <si>
    <t>10459KG</t>
  </si>
  <si>
    <t>12286KG</t>
  </si>
  <si>
    <t>Sachin, Surat [GJ]</t>
  </si>
  <si>
    <t>DD 01 F 9325</t>
  </si>
  <si>
    <t>Borlai [GJ]</t>
  </si>
  <si>
    <t>11701KG</t>
  </si>
  <si>
    <t>GJ 06 VV 5185</t>
  </si>
  <si>
    <t>Maneja, Vadodara [GJ]</t>
  </si>
  <si>
    <t>TN 83 D 9533</t>
  </si>
  <si>
    <t>MH 02 FX 6570</t>
  </si>
  <si>
    <t>South Goa [GA]</t>
  </si>
  <si>
    <t>UP 14 KT 1142</t>
  </si>
  <si>
    <t>UP 27 CT 6969</t>
  </si>
  <si>
    <t>Tuticorin [TN]</t>
  </si>
  <si>
    <t>11954KG</t>
  </si>
  <si>
    <t>MH 14 LX 3967</t>
  </si>
  <si>
    <t>Indapur, Pune [MH]</t>
  </si>
  <si>
    <t>Attachment</t>
  </si>
  <si>
    <t>RJ 47 GA 0554</t>
  </si>
  <si>
    <t>Dahej, Bharuch [GJ]</t>
  </si>
  <si>
    <t>GJ 02 ZZ 9255</t>
  </si>
  <si>
    <t>Boom Lift</t>
  </si>
  <si>
    <t>MH 03 ES 7090</t>
  </si>
  <si>
    <t>GJ 12 BX 6629</t>
  </si>
  <si>
    <t>Overload Charge</t>
  </si>
  <si>
    <t>Pardi, Valsad [GJ]</t>
  </si>
  <si>
    <t>DD 01 H 9468</t>
  </si>
  <si>
    <t>DD 09 P 9818</t>
  </si>
  <si>
    <t>GJ 15 AV 0966</t>
  </si>
  <si>
    <t>MH 04 LE 8855</t>
  </si>
  <si>
    <t>Balitha, Vapi [GJ]</t>
  </si>
  <si>
    <t>11477KG</t>
  </si>
  <si>
    <t>11900KG</t>
  </si>
  <si>
    <t>11389KG</t>
  </si>
  <si>
    <t>11989KG</t>
  </si>
  <si>
    <t>11203KG</t>
  </si>
  <si>
    <t>11136KG</t>
  </si>
  <si>
    <t>10506KG</t>
  </si>
  <si>
    <t>11576KG</t>
  </si>
  <si>
    <t>11238KG</t>
  </si>
  <si>
    <t>10552KG</t>
  </si>
  <si>
    <t>10961KG</t>
  </si>
  <si>
    <t>10498KG</t>
  </si>
  <si>
    <t>10883KG</t>
  </si>
  <si>
    <t>10430KG</t>
  </si>
  <si>
    <t>11806KG</t>
  </si>
  <si>
    <t>12889KG</t>
  </si>
  <si>
    <t>11122KG</t>
  </si>
  <si>
    <t>Simpolo, Morbi [GJ]</t>
  </si>
  <si>
    <t>MH 48 CB 6956</t>
  </si>
  <si>
    <t>Dholera, Ahmedabad [GJ]</t>
  </si>
  <si>
    <t>One day detention</t>
  </si>
  <si>
    <t>GJ 06 BV 8871</t>
  </si>
  <si>
    <t>GJ 12 BW 5832`</t>
  </si>
  <si>
    <t>12117KG</t>
  </si>
  <si>
    <t>11151KG</t>
  </si>
  <si>
    <t>11398KG</t>
  </si>
  <si>
    <t>12808KG</t>
  </si>
  <si>
    <t>11507KG</t>
  </si>
  <si>
    <t>11832KG</t>
  </si>
  <si>
    <t>10476KG</t>
  </si>
  <si>
    <t>11561KG</t>
  </si>
  <si>
    <t>10277KG</t>
  </si>
  <si>
    <t>11068KG</t>
  </si>
  <si>
    <t>10356KG</t>
  </si>
  <si>
    <t>10999KG</t>
  </si>
  <si>
    <t>11272KG</t>
  </si>
  <si>
    <t>11484KG</t>
  </si>
  <si>
    <t>9805KG</t>
  </si>
  <si>
    <t>8794KG</t>
  </si>
  <si>
    <t>11867KG</t>
  </si>
  <si>
    <t>12055KG</t>
  </si>
  <si>
    <t>DD 01 G 9464</t>
  </si>
  <si>
    <t>Daman [DD]</t>
  </si>
  <si>
    <t>Silvasa [DD]</t>
  </si>
  <si>
    <t>Kharadpada [DD]</t>
  </si>
  <si>
    <t>GJ 06 BV 6318</t>
  </si>
  <si>
    <t>Toyota, Kheda [GJ}</t>
  </si>
  <si>
    <t>GJ 27 TT 9618</t>
  </si>
  <si>
    <t>Patna [BR]</t>
  </si>
  <si>
    <t>MP 13 GA 8590</t>
  </si>
  <si>
    <t>GJ 06 BY 2636</t>
  </si>
  <si>
    <t>Scissor Lift</t>
  </si>
  <si>
    <t>Tailift Towing Tractor Model</t>
  </si>
  <si>
    <t>Tow 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</si>
</sst>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₹&quot;#,##0.00_);[Red]\(&quot;₹&quot;#,##0.00\)"/>
    <numFmt numFmtId="44" formatCode="_(&quot;₹&quot;* #,##0.00_);_(&quot;₹&quot;* \(#,##0.00\);_(&quot;₹&quot;* &quot;-&quot;??_);_(@_)"/>
    <numFmt numFmtId="164" formatCode="dd\-mm\-yyyy"/>
    <numFmt numFmtId="165" formatCode="_ [$₹-4009]\ * #,##0.00_ ;_ [$₹-4009]\ * \-#,##0.00_ ;_ [$₹-4009]\ * &quot;-&quot;??_ ;_ @_ "/>
    <numFmt numFmtId="166" formatCode="000"/>
    <numFmt numFmtId="167" formatCode="&quot;₹&quot;#,##0.00"/>
  </numFmts>
  <fonts count="16" x14ac:knownFonts="1">
    <font>
      <sz val="12"/>
      <color theme="1"/>
      <name val="Aptos Narrow"/>
      <family val="2"/>
      <scheme val="minor"/>
    </font>
    <font>
      <b/>
      <sz val="10"/>
      <color theme="1"/>
      <name val="Aptos Display"/>
      <scheme val="major"/>
    </font>
    <font>
      <b/>
      <sz val="11"/>
      <color theme="1"/>
      <name val="Aptos Display"/>
      <scheme val="major"/>
    </font>
    <font>
      <sz val="11"/>
      <color theme="1"/>
      <name val="Aptos Display (Headings)"/>
    </font>
    <font>
      <sz val="9"/>
      <color theme="1"/>
      <name val="Aptos Display"/>
      <scheme val="major"/>
    </font>
    <font>
      <sz val="10"/>
      <color theme="1"/>
      <name val="Aptos Display"/>
      <scheme val="major"/>
    </font>
    <font>
      <sz val="12"/>
      <color theme="1"/>
      <name val="Aptos Display"/>
      <scheme val="major"/>
    </font>
    <font>
      <sz val="11"/>
      <color theme="1"/>
      <name val="Aptos Display"/>
      <scheme val="major"/>
    </font>
    <font>
      <b/>
      <sz val="11"/>
      <color theme="6" tint="-0.249977111117893"/>
      <name val="Aptos Display"/>
      <scheme val="major"/>
    </font>
    <font>
      <sz val="11"/>
      <color theme="6" tint="-0.249977111117893"/>
      <name val="Aptos Display"/>
      <scheme val="major"/>
    </font>
    <font>
      <b/>
      <sz val="9"/>
      <color theme="1"/>
      <name val="Aptos Display"/>
      <scheme val="major"/>
    </font>
    <font>
      <sz val="8"/>
      <name val="Aptos Narrow"/>
      <family val="2"/>
      <scheme val="minor"/>
    </font>
    <font>
      <sz val="7"/>
      <color theme="1"/>
      <name val="Aptos Display"/>
      <scheme val="major"/>
    </font>
    <font>
      <sz val="8"/>
      <color theme="1"/>
      <name val="Aptos Display (Headings)"/>
    </font>
    <font>
      <sz val="12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1CBF3"/>
      </top>
      <bottom style="thin">
        <color rgb="FF61CBF3"/>
      </bottom>
      <diagonal/>
    </border>
  </borders>
  <cellStyleXfs count="1">
    <xf numFmtId="0" fontId="0" fillId="0" borderId="0"/>
  </cellStyleXfs>
  <cellXfs count="83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1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5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1" fillId="0" borderId="17" xfId="0" applyFont="1" applyBorder="1"/>
    <xf numFmtId="0" fontId="10" fillId="0" borderId="15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6" fillId="0" borderId="0" xfId="0" applyFont="1"/>
    <xf numFmtId="49" fontId="5" fillId="0" borderId="16" xfId="0" applyNumberFormat="1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8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/>
    <xf numFmtId="44" fontId="4" fillId="0" borderId="25" xfId="0" applyNumberFormat="1" applyFont="1" applyBorder="1"/>
    <xf numFmtId="0" fontId="5" fillId="0" borderId="3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167" fontId="5" fillId="0" borderId="16" xfId="0" applyNumberFormat="1" applyFont="1" applyBorder="1"/>
    <xf numFmtId="0" fontId="14" fillId="0" borderId="35" xfId="0" applyFont="1" applyBorder="1"/>
    <xf numFmtId="166" fontId="15" fillId="0" borderId="31" xfId="0" applyNumberFormat="1" applyFont="1" applyBorder="1" applyAlignment="1">
      <alignment horizontal="center" vertical="center"/>
    </xf>
    <xf numFmtId="164" fontId="15" fillId="0" borderId="22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167" fontId="15" fillId="0" borderId="34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left"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8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0" fillId="0" borderId="26" xfId="0" applyFont="1" applyBorder="1" applyAlignment="1">
      <alignment horizontal="left" vertical="center"/>
    </xf>
    <xf numFmtId="49" fontId="10" fillId="0" borderId="26" xfId="0" applyNumberFormat="1" applyFont="1" applyBorder="1" applyAlignment="1">
      <alignment horizontal="left" vertical="center"/>
    </xf>
    <xf numFmtId="0" fontId="10" fillId="0" borderId="24" xfId="0" applyFont="1" applyBorder="1" applyAlignment="1">
      <alignment horizontal="right"/>
    </xf>
    <xf numFmtId="0" fontId="6" fillId="0" borderId="25" xfId="0" applyFont="1" applyBorder="1" applyAlignment="1">
      <alignment horizontal="right"/>
    </xf>
    <xf numFmtId="0" fontId="6" fillId="0" borderId="26" xfId="0" applyFont="1" applyBorder="1" applyAlignment="1">
      <alignment horizontal="right"/>
    </xf>
    <xf numFmtId="0" fontId="6" fillId="0" borderId="16" xfId="0" applyFont="1" applyBorder="1" applyAlignment="1">
      <alignment horizontal="right"/>
    </xf>
    <xf numFmtId="0" fontId="6" fillId="0" borderId="30" xfId="0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0" fontId="5" fillId="0" borderId="2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&quot;₹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dd\-mm\-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6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Display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numFmt numFmtId="165" formatCode="_ [$₹-4009]\ * #,##0.00_ ;_ [$₹-4009]\ * \-#,##0.00_ ;_ [$₹-4009]\ * &quot;-&quot;??_ ;_ 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\-mm\-yyyy"/>
      <alignment horizontal="center" vertical="bottom" textRotation="0" wrapText="0" indent="0" justifyLastLine="0" shrinkToFit="0" readingOrder="0"/>
    </dxf>
    <dxf>
      <numFmt numFmtId="166" formatCode="000"/>
    </dxf>
    <dxf>
      <numFmt numFmtId="167" formatCode="&quot;₹&quot;#,##0.00"/>
    </dxf>
    <dxf>
      <numFmt numFmtId="167" formatCode="&quot;₹&quot;#,##0.00"/>
    </dxf>
    <dxf>
      <numFmt numFmtId="0" formatCode="General"/>
    </dxf>
    <dxf>
      <numFmt numFmtId="167" formatCode="&quot;₹&quot;#,##0.00"/>
    </dxf>
    <dxf>
      <numFmt numFmtId="164" formatCode="dd\-mm\-yyyy"/>
    </dxf>
    <dxf>
      <numFmt numFmtId="166" formatCode="000"/>
    </dxf>
    <dxf>
      <numFmt numFmtId="166" formatCode="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1083733</xdr:colOff>
      <xdr:row>1</xdr:row>
      <xdr:rowOff>11585</xdr:rowOff>
    </xdr:from>
    <xdr:ext cx="2585898" cy="58776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A75F22-5820-9E4F-9E52-31D6187DB8DD}"/>
            </a:ext>
          </a:extLst>
        </xdr:cNvPr>
        <xdr:cNvSpPr txBox="1"/>
      </xdr:nvSpPr>
      <xdr:spPr>
        <a:xfrm>
          <a:off x="5579533" y="214785"/>
          <a:ext cx="2585898" cy="587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PLOT NO. D-407, BLD. NO. D-1, 4TH FLOOR, UMANG RESIDENCY NR. SACHIN RAILWAY STATION, SACHIN, SURAT - 394230</a:t>
          </a:r>
        </a:p>
        <a:p>
          <a:endParaRPr lang="en-GB" sz="1000">
            <a:latin typeface="+mj-lt"/>
          </a:endParaRPr>
        </a:p>
      </xdr:txBody>
    </xdr:sp>
    <xdr:clientData/>
  </xdr:oneCellAnchor>
  <xdr:oneCellAnchor>
    <xdr:from>
      <xdr:col>6</xdr:col>
      <xdr:colOff>555058</xdr:colOff>
      <xdr:row>1</xdr:row>
      <xdr:rowOff>483669</xdr:rowOff>
    </xdr:from>
    <xdr:ext cx="1844842" cy="40536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CD0634-651D-8548-A350-E17AF44F4049}"/>
            </a:ext>
          </a:extLst>
        </xdr:cNvPr>
        <xdr:cNvSpPr txBox="1"/>
      </xdr:nvSpPr>
      <xdr:spPr>
        <a:xfrm>
          <a:off x="5546158" y="686869"/>
          <a:ext cx="1844842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n-GB" sz="1000" b="1">
              <a:latin typeface="+mj-lt"/>
            </a:rPr>
            <a:t>+91 9727-466-477</a:t>
          </a:r>
          <a:br>
            <a:rPr lang="en-GB" sz="1000" b="1">
              <a:latin typeface="+mj-lt"/>
            </a:rPr>
          </a:br>
          <a:r>
            <a:rPr lang="en-GB" sz="1000" b="1">
              <a:latin typeface="+mj-lt"/>
            </a:rPr>
            <a:t>raghhavroadways@gmail.com</a:t>
          </a:r>
        </a:p>
      </xdr:txBody>
    </xdr:sp>
    <xdr:clientData/>
  </xdr:oneCellAnchor>
  <xdr:twoCellAnchor editAs="oneCell">
    <xdr:from>
      <xdr:col>0</xdr:col>
      <xdr:colOff>254000</xdr:colOff>
      <xdr:row>1</xdr:row>
      <xdr:rowOff>207210</xdr:rowOff>
    </xdr:from>
    <xdr:to>
      <xdr:col>1</xdr:col>
      <xdr:colOff>215412</xdr:colOff>
      <xdr:row>1</xdr:row>
      <xdr:rowOff>736210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E1F8F2-2379-2147-A8A9-819BF2976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410410"/>
          <a:ext cx="723412" cy="529000"/>
        </a:xfrm>
        <a:prstGeom prst="rect">
          <a:avLst/>
        </a:prstGeom>
      </xdr:spPr>
    </xdr:pic>
    <xdr:clientData/>
  </xdr:twoCellAnchor>
  <xdr:oneCellAnchor>
    <xdr:from>
      <xdr:col>1</xdr:col>
      <xdr:colOff>200526</xdr:colOff>
      <xdr:row>0</xdr:row>
      <xdr:rowOff>159084</xdr:rowOff>
    </xdr:from>
    <xdr:ext cx="2299369" cy="79542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4078DA0-5E09-4C48-AC16-CE626A69A9F0}"/>
            </a:ext>
          </a:extLst>
        </xdr:cNvPr>
        <xdr:cNvSpPr txBox="1"/>
      </xdr:nvSpPr>
      <xdr:spPr>
        <a:xfrm>
          <a:off x="962526" y="159084"/>
          <a:ext cx="2299369" cy="7954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800" b="1" i="0">
              <a:solidFill>
                <a:schemeClr val="accent3">
                  <a:lumMod val="75000"/>
                </a:schemeClr>
              </a:solidFill>
              <a:latin typeface="Arial Black" panose="020B0604020202020204" pitchFamily="34" charset="0"/>
              <a:ea typeface="Arial Unicode MS" panose="020B0604020202020204" pitchFamily="34" charset="-128"/>
              <a:cs typeface="Arial Black" panose="020B0604020202020204" pitchFamily="34" charset="0"/>
            </a:rPr>
            <a:t>RAGHHAV ROADWAYS</a:t>
          </a:r>
        </a:p>
      </xdr:txBody>
    </xdr:sp>
    <xdr:clientData/>
  </xdr:oneCellAnchor>
  <xdr:oneCellAnchor>
    <xdr:from>
      <xdr:col>1</xdr:col>
      <xdr:colOff>548685</xdr:colOff>
      <xdr:row>1</xdr:row>
      <xdr:rowOff>689967</xdr:rowOff>
    </xdr:from>
    <xdr:ext cx="1798053" cy="21389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81FE70D-2443-0F4D-AF77-9A427EFEDFC6}"/>
            </a:ext>
          </a:extLst>
        </xdr:cNvPr>
        <xdr:cNvSpPr txBox="1"/>
      </xdr:nvSpPr>
      <xdr:spPr>
        <a:xfrm>
          <a:off x="1310685" y="893167"/>
          <a:ext cx="1798053" cy="2138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GSTIN: 24BQCPP3322B1ZH</a:t>
          </a:r>
        </a:p>
        <a:p>
          <a:endParaRPr lang="en-GB" sz="1000" b="1"/>
        </a:p>
      </xdr:txBody>
    </xdr:sp>
    <xdr:clientData/>
  </xdr:oneCellAnchor>
  <xdr:twoCellAnchor>
    <xdr:from>
      <xdr:col>4</xdr:col>
      <xdr:colOff>779076</xdr:colOff>
      <xdr:row>1</xdr:row>
      <xdr:rowOff>202774</xdr:rowOff>
    </xdr:from>
    <xdr:to>
      <xdr:col>4</xdr:col>
      <xdr:colOff>779076</xdr:colOff>
      <xdr:row>1</xdr:row>
      <xdr:rowOff>779076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0CEAA87-09DB-AD44-9C02-FC43A3471E50}"/>
            </a:ext>
          </a:extLst>
        </xdr:cNvPr>
        <xdr:cNvCxnSpPr/>
      </xdr:nvCxnSpPr>
      <xdr:spPr>
        <a:xfrm>
          <a:off x="3890576" y="405974"/>
          <a:ext cx="0" cy="57630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22FD1C-4342-3E4D-9481-18528647702A}" name="BillDetails" displayName="BillDetails" ref="A1:F174" totalsRowShown="0">
  <autoFilter ref="A1:F174" xr:uid="{6922FD1C-4342-3E4D-9481-18528647702A}"/>
  <sortState xmlns:xlrd2="http://schemas.microsoft.com/office/spreadsheetml/2017/richdata2" ref="A2:F27">
    <sortCondition ref="A1:A27"/>
  </sortState>
  <tableColumns count="6">
    <tableColumn id="1" xr3:uid="{B4029B97-55C4-6943-A57D-9FABB19793C8}" name="Bill No" dataDxfId="18"/>
    <tableColumn id="2" xr3:uid="{4B943117-BCD5-7E45-A718-4205967A14CA}" name="Bill Date" dataDxfId="17"/>
    <tableColumn id="3" xr3:uid="{ADC5E3AD-6C8F-6F42-B964-F62D1A4D334C}" name="Party Name" dataDxfId="16"/>
    <tableColumn id="4" xr3:uid="{25D3206C-783E-1140-A764-290D62A4AFCB}" name="Party Address" dataDxfId="15"/>
    <tableColumn id="5" xr3:uid="{F11E4E35-A178-784B-9748-B28872936AAE}" name="Party GST No" dataDxfId="14"/>
    <tableColumn id="6" xr3:uid="{A53ECFD5-DCF6-5941-9461-5C35906DEA0F}" name="Total Amount" dataDxfId="13">
      <calculatedColumnFormula>SUMIF(OrderDetails[Bill No],BillDetails[[#This Row],[Bill No]],OrderDetails[Amount])+SUMIF(OrderDetails[Bill No],BillDetails[[#This Row],[Bill No]],OrderDetails[Extra Charges])+ SUMIF(OrderDetails[Bill No],BillDetails[[#This Row],[Bill No]],OrderDetails[GR Charge])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0F56EB-D4DE-E149-A6D1-511358544985}" name="OrderDetails" displayName="OrderDetails" ref="A1:M429" totalsRowShown="0">
  <autoFilter ref="A1:M429" xr:uid="{FA0F56EB-D4DE-E149-A6D1-511358544985}"/>
  <sortState xmlns:xlrd2="http://schemas.microsoft.com/office/spreadsheetml/2017/richdata2" ref="A2:M65">
    <sortCondition ref="A1:A65"/>
    <sortCondition ref="C1:C65"/>
  </sortState>
  <tableColumns count="13">
    <tableColumn id="1" xr3:uid="{F0551FA1-C653-AF49-8EE3-0CC5CC3D6BE2}" name="Bill No" dataDxfId="25"/>
    <tableColumn id="2" xr3:uid="{A674D4D1-D023-AA4C-8842-C09EAEDDBBAA}" name="GR No" dataDxfId="24"/>
    <tableColumn id="3" xr3:uid="{76DAFBD7-A31D-8341-9AFF-E268BFA2905D}" name="Date" dataDxfId="23"/>
    <tableColumn id="4" xr3:uid="{43B38099-66C5-5743-83E4-362D16390E40}" name="Vehicle No"/>
    <tableColumn id="5" xr3:uid="{83F1E043-DA4A-9442-9814-989C8746CD90}" name="Load From"/>
    <tableColumn id="6" xr3:uid="{3971F091-94B5-E449-A091-428EC2688E7B}" name="Destination"/>
    <tableColumn id="7" xr3:uid="{1F16373F-AFE0-7041-9EED-3CC24EB0F7E4}" name="Contents"/>
    <tableColumn id="8" xr3:uid="{C4A837EE-1D47-A341-BCE0-5FDF2C1D9D1F}" name="Qty in MT"/>
    <tableColumn id="9" xr3:uid="{B618D5D2-BD92-FE47-B7E1-FD609A348D6D}" name="Rate MT"/>
    <tableColumn id="10" xr3:uid="{8B2A117C-384E-A147-BC4C-088A507473C2}" name="Amount" dataDxfId="22"/>
    <tableColumn id="11" xr3:uid="{3135137B-600C-F840-8250-1731093FB87C}" name="Extra Content" dataDxfId="21"/>
    <tableColumn id="12" xr3:uid="{13E5E97D-1F76-7147-A1B8-F618A3C20B56}" name="Extra Charges" dataDxfId="20"/>
    <tableColumn id="13" xr3:uid="{BA3FCA9F-439C-8842-A333-FA867B2FC7BC}" name="GR Charge" dataDxfId="19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887DEB-BC2E-6947-BF53-3C847821527F}" name="Table33" displayName="Table33" ref="A6:I13" totalsRowShown="0" headerRowDxfId="12" dataDxfId="10" headerRowBorderDxfId="11" tableBorderDxfId="9">
  <autoFilter ref="A6:I13" xr:uid="{9E595F2A-E204-CB4D-82A2-16C4B51E02B4}"/>
  <tableColumns count="9">
    <tableColumn id="1" xr3:uid="{80343A4A-6641-8940-BDC2-6AE9A44DBC17}" name="GR No." dataDxfId="8"/>
    <tableColumn id="2" xr3:uid="{678016F0-C68A-A343-9460-E407891041F4}" name="DATE" dataDxfId="7"/>
    <tableColumn id="10" xr3:uid="{39AD3B07-BA1B-294E-8A6E-515050CDD4A2}" name="VEHICLE NO." dataDxfId="6"/>
    <tableColumn id="3" xr3:uid="{C0B2B215-8751-F44D-AB21-D7F3EC62477D}" name="LOAD FROM" dataDxfId="5"/>
    <tableColumn id="4" xr3:uid="{AFDBC0A5-25BA-B44D-8667-11D731B6862B}" name="DESTINATION" dataDxfId="4"/>
    <tableColumn id="5" xr3:uid="{EC5CA4CF-0DDA-4D49-A37E-BD280A6D14B6}" name="CONTENTS" dataDxfId="3"/>
    <tableColumn id="7" xr3:uid="{0D3369D1-B4BA-574E-8B96-088D243B5B61}" name="QTY IN MT." dataDxfId="2"/>
    <tableColumn id="8" xr3:uid="{E73935D2-C671-0F4C-8591-E231A462B627}" name="RATE MT." dataDxfId="1"/>
    <tableColumn id="9" xr3:uid="{19223BB8-1425-834D-98BA-43F90315D2CF}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F18B-2868-1845-874E-20D78FD3DD9D}">
  <sheetPr codeName="Sheet1"/>
  <dimension ref="A1:J174"/>
  <sheetViews>
    <sheetView tabSelected="1" topLeftCell="A156" zoomScale="108" zoomScaleNormal="100" workbookViewId="0">
      <selection activeCell="D179" sqref="D179"/>
    </sheetView>
  </sheetViews>
  <sheetFormatPr baseColWidth="10" defaultRowHeight="16" x14ac:dyDescent="0.2"/>
  <cols>
    <col min="1" max="1" width="9" style="3" bestFit="1" customWidth="1"/>
    <col min="2" max="2" width="13.1640625" style="1" bestFit="1" customWidth="1"/>
    <col min="3" max="3" width="35.1640625" bestFit="1" customWidth="1"/>
    <col min="4" max="4" width="125.5" bestFit="1" customWidth="1"/>
    <col min="5" max="5" width="18" bestFit="1" customWidth="1"/>
    <col min="6" max="6" width="17.5" style="2" customWidth="1"/>
    <col min="10" max="10" width="14" bestFit="1" customWidth="1"/>
  </cols>
  <sheetData>
    <row r="1" spans="1:10" x14ac:dyDescent="0.2">
      <c r="A1" s="3" t="s">
        <v>0</v>
      </c>
      <c r="B1" s="5" t="s">
        <v>13</v>
      </c>
      <c r="C1" s="6" t="s">
        <v>14</v>
      </c>
      <c r="D1" s="6" t="s">
        <v>15</v>
      </c>
      <c r="E1" s="6" t="s">
        <v>16</v>
      </c>
      <c r="F1" s="7" t="s">
        <v>17</v>
      </c>
    </row>
    <row r="2" spans="1:10" x14ac:dyDescent="0.2">
      <c r="A2" s="3">
        <v>1</v>
      </c>
      <c r="B2" s="5">
        <v>45747</v>
      </c>
      <c r="C2" s="6" t="s">
        <v>107</v>
      </c>
      <c r="D2" s="6" t="s">
        <v>171</v>
      </c>
      <c r="E2" s="6" t="s">
        <v>108</v>
      </c>
      <c r="F2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9150</v>
      </c>
    </row>
    <row r="3" spans="1:10" x14ac:dyDescent="0.2">
      <c r="A3" s="3">
        <v>2</v>
      </c>
      <c r="B3" s="5">
        <v>45747</v>
      </c>
      <c r="C3" s="6" t="s">
        <v>24</v>
      </c>
      <c r="D3" s="6" t="s">
        <v>25</v>
      </c>
      <c r="E3" s="6" t="s">
        <v>26</v>
      </c>
      <c r="F3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22650</v>
      </c>
      <c r="J3" s="2">
        <f>SUM(F:F)</f>
        <v>5755188</v>
      </c>
    </row>
    <row r="4" spans="1:10" x14ac:dyDescent="0.2">
      <c r="A4" s="3">
        <v>3</v>
      </c>
      <c r="B4" s="5">
        <v>45747</v>
      </c>
      <c r="C4" s="6" t="s">
        <v>31</v>
      </c>
      <c r="D4" s="6" t="s">
        <v>32</v>
      </c>
      <c r="E4" s="6" t="s">
        <v>33</v>
      </c>
      <c r="F4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29150</v>
      </c>
    </row>
    <row r="5" spans="1:10" x14ac:dyDescent="0.2">
      <c r="A5" s="3">
        <v>4</v>
      </c>
      <c r="B5" s="5">
        <v>45747</v>
      </c>
      <c r="C5" s="6" t="s">
        <v>109</v>
      </c>
      <c r="D5" s="6" t="s">
        <v>25</v>
      </c>
      <c r="E5" s="6" t="s">
        <v>110</v>
      </c>
      <c r="F5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14500</v>
      </c>
    </row>
    <row r="6" spans="1:10" x14ac:dyDescent="0.2">
      <c r="A6" s="3">
        <v>5</v>
      </c>
      <c r="B6" s="5">
        <v>45747</v>
      </c>
      <c r="C6" s="6" t="s">
        <v>24</v>
      </c>
      <c r="D6" s="6" t="s">
        <v>25</v>
      </c>
      <c r="E6" s="6" t="s">
        <v>26</v>
      </c>
      <c r="F6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43800</v>
      </c>
    </row>
    <row r="7" spans="1:10" x14ac:dyDescent="0.2">
      <c r="A7" s="3">
        <v>6</v>
      </c>
      <c r="B7" s="5">
        <v>45747</v>
      </c>
      <c r="C7" s="6" t="s">
        <v>24</v>
      </c>
      <c r="D7" s="6" t="s">
        <v>25</v>
      </c>
      <c r="E7" s="6" t="s">
        <v>26</v>
      </c>
      <c r="F7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60150</v>
      </c>
    </row>
    <row r="8" spans="1:10" x14ac:dyDescent="0.2">
      <c r="A8" s="3">
        <v>7</v>
      </c>
      <c r="B8" s="5">
        <v>45772</v>
      </c>
      <c r="C8" s="6" t="s">
        <v>111</v>
      </c>
      <c r="D8" s="6" t="s">
        <v>112</v>
      </c>
      <c r="E8" s="6" t="s">
        <v>113</v>
      </c>
      <c r="F8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34150</v>
      </c>
    </row>
    <row r="9" spans="1:10" x14ac:dyDescent="0.2">
      <c r="A9" s="3">
        <v>8</v>
      </c>
      <c r="B9" s="5">
        <v>45772</v>
      </c>
      <c r="C9" s="6" t="s">
        <v>24</v>
      </c>
      <c r="D9" s="6" t="s">
        <v>25</v>
      </c>
      <c r="E9" s="6" t="s">
        <v>26</v>
      </c>
      <c r="F9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16150</v>
      </c>
    </row>
    <row r="10" spans="1:10" x14ac:dyDescent="0.2">
      <c r="A10" s="3">
        <v>9</v>
      </c>
      <c r="B10" s="5">
        <v>45772</v>
      </c>
      <c r="C10" s="6" t="s">
        <v>24</v>
      </c>
      <c r="D10" s="6" t="s">
        <v>25</v>
      </c>
      <c r="E10" s="6" t="s">
        <v>26</v>
      </c>
      <c r="F10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72150</v>
      </c>
    </row>
    <row r="11" spans="1:10" x14ac:dyDescent="0.2">
      <c r="A11" s="3">
        <v>10</v>
      </c>
      <c r="B11" s="5">
        <v>45772</v>
      </c>
      <c r="C11" s="6" t="s">
        <v>24</v>
      </c>
      <c r="D11" s="6" t="s">
        <v>25</v>
      </c>
      <c r="E11" s="6" t="s">
        <v>26</v>
      </c>
      <c r="F11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15150</v>
      </c>
    </row>
    <row r="12" spans="1:10" x14ac:dyDescent="0.2">
      <c r="A12" s="3">
        <v>11</v>
      </c>
      <c r="B12" s="5">
        <v>45772</v>
      </c>
      <c r="C12" s="6" t="s">
        <v>172</v>
      </c>
      <c r="D12" s="6" t="s">
        <v>173</v>
      </c>
      <c r="E12" s="6" t="s">
        <v>174</v>
      </c>
      <c r="F12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29000</v>
      </c>
    </row>
    <row r="13" spans="1:10" x14ac:dyDescent="0.2">
      <c r="A13" s="3">
        <v>12</v>
      </c>
      <c r="B13" s="5">
        <v>45772</v>
      </c>
      <c r="C13" s="6" t="s">
        <v>24</v>
      </c>
      <c r="D13" s="6" t="s">
        <v>25</v>
      </c>
      <c r="E13" s="6" t="s">
        <v>26</v>
      </c>
      <c r="F13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49650</v>
      </c>
    </row>
    <row r="14" spans="1:10" x14ac:dyDescent="0.2">
      <c r="A14" s="3">
        <v>13</v>
      </c>
      <c r="B14" s="5">
        <v>45772</v>
      </c>
      <c r="C14" s="6" t="s">
        <v>34</v>
      </c>
      <c r="D14" s="6" t="s">
        <v>35</v>
      </c>
      <c r="E14" s="6" t="s">
        <v>36</v>
      </c>
      <c r="F14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13150</v>
      </c>
    </row>
    <row r="15" spans="1:10" x14ac:dyDescent="0.2">
      <c r="A15" s="3">
        <v>14</v>
      </c>
      <c r="B15" s="5">
        <v>45772</v>
      </c>
      <c r="C15" s="6" t="s">
        <v>24</v>
      </c>
      <c r="D15" s="6" t="s">
        <v>25</v>
      </c>
      <c r="E15" s="6" t="s">
        <v>26</v>
      </c>
      <c r="F15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26650</v>
      </c>
    </row>
    <row r="16" spans="1:10" x14ac:dyDescent="0.2">
      <c r="A16" s="3">
        <v>15</v>
      </c>
      <c r="B16" s="5">
        <v>45772</v>
      </c>
      <c r="C16" s="6" t="s">
        <v>24</v>
      </c>
      <c r="D16" s="6" t="s">
        <v>25</v>
      </c>
      <c r="E16" s="6" t="s">
        <v>26</v>
      </c>
      <c r="F16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16650</v>
      </c>
    </row>
    <row r="17" spans="1:6" x14ac:dyDescent="0.2">
      <c r="A17" s="3">
        <v>16</v>
      </c>
      <c r="B17" s="5">
        <v>45772</v>
      </c>
      <c r="C17" s="6" t="s">
        <v>24</v>
      </c>
      <c r="D17" s="6" t="s">
        <v>25</v>
      </c>
      <c r="E17" s="6" t="s">
        <v>26</v>
      </c>
      <c r="F17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84150</v>
      </c>
    </row>
    <row r="18" spans="1:6" x14ac:dyDescent="0.2">
      <c r="A18" s="3">
        <v>17</v>
      </c>
      <c r="B18" s="5">
        <v>45777</v>
      </c>
      <c r="C18" s="6" t="s">
        <v>24</v>
      </c>
      <c r="D18" s="6" t="s">
        <v>25</v>
      </c>
      <c r="E18" s="6" t="s">
        <v>26</v>
      </c>
      <c r="F18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27150</v>
      </c>
    </row>
    <row r="19" spans="1:6" x14ac:dyDescent="0.2">
      <c r="A19" s="3">
        <v>18</v>
      </c>
      <c r="B19" s="5">
        <v>45777</v>
      </c>
      <c r="C19" s="6" t="s">
        <v>24</v>
      </c>
      <c r="D19" s="6" t="s">
        <v>25</v>
      </c>
      <c r="E19" s="6" t="s">
        <v>26</v>
      </c>
      <c r="F19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35150</v>
      </c>
    </row>
    <row r="20" spans="1:6" x14ac:dyDescent="0.2">
      <c r="A20" s="3">
        <v>19</v>
      </c>
      <c r="B20" s="5">
        <v>45777</v>
      </c>
      <c r="C20" s="6" t="s">
        <v>24</v>
      </c>
      <c r="D20" s="6" t="s">
        <v>25</v>
      </c>
      <c r="E20" s="6" t="s">
        <v>26</v>
      </c>
      <c r="F20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91150</v>
      </c>
    </row>
    <row r="21" spans="1:6" x14ac:dyDescent="0.2">
      <c r="A21" s="3">
        <v>20</v>
      </c>
      <c r="B21" s="5">
        <v>45777</v>
      </c>
      <c r="C21" s="6" t="s">
        <v>24</v>
      </c>
      <c r="D21" s="6" t="s">
        <v>25</v>
      </c>
      <c r="E21" s="6" t="s">
        <v>26</v>
      </c>
      <c r="F21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36150</v>
      </c>
    </row>
    <row r="22" spans="1:6" x14ac:dyDescent="0.2">
      <c r="A22" s="3">
        <v>21</v>
      </c>
      <c r="B22" s="5">
        <v>45777</v>
      </c>
      <c r="C22" s="6" t="s">
        <v>24</v>
      </c>
      <c r="D22" s="6" t="s">
        <v>25</v>
      </c>
      <c r="E22" s="6" t="s">
        <v>26</v>
      </c>
      <c r="F22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33150</v>
      </c>
    </row>
    <row r="23" spans="1:6" x14ac:dyDescent="0.2">
      <c r="A23" s="3">
        <v>22</v>
      </c>
      <c r="B23" s="5">
        <v>45777</v>
      </c>
      <c r="C23" s="6" t="s">
        <v>24</v>
      </c>
      <c r="D23" s="6" t="s">
        <v>25</v>
      </c>
      <c r="E23" s="6" t="s">
        <v>26</v>
      </c>
      <c r="F23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32150</v>
      </c>
    </row>
    <row r="24" spans="1:6" x14ac:dyDescent="0.2">
      <c r="A24" s="3">
        <v>23</v>
      </c>
      <c r="B24" s="5">
        <v>45792</v>
      </c>
      <c r="C24" s="6" t="s">
        <v>175</v>
      </c>
      <c r="D24" s="6" t="s">
        <v>176</v>
      </c>
      <c r="E24" s="6" t="s">
        <v>177</v>
      </c>
      <c r="F24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57010</v>
      </c>
    </row>
    <row r="25" spans="1:6" x14ac:dyDescent="0.2">
      <c r="A25" s="3">
        <v>24</v>
      </c>
      <c r="B25" s="5">
        <v>45792</v>
      </c>
      <c r="C25" s="6" t="s">
        <v>178</v>
      </c>
      <c r="D25" s="6" t="s">
        <v>176</v>
      </c>
      <c r="E25" s="6" t="s">
        <v>179</v>
      </c>
      <c r="F25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33290</v>
      </c>
    </row>
    <row r="26" spans="1:6" x14ac:dyDescent="0.2">
      <c r="A26" s="3">
        <v>25</v>
      </c>
      <c r="B26" s="5">
        <v>45802</v>
      </c>
      <c r="C26" s="6" t="s">
        <v>24</v>
      </c>
      <c r="D26" s="6" t="s">
        <v>25</v>
      </c>
      <c r="E26" s="6" t="s">
        <v>26</v>
      </c>
      <c r="F26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48150</v>
      </c>
    </row>
    <row r="27" spans="1:6" x14ac:dyDescent="0.2">
      <c r="A27" s="3">
        <v>26</v>
      </c>
      <c r="B27" s="5">
        <v>45802</v>
      </c>
      <c r="C27" s="6" t="s">
        <v>24</v>
      </c>
      <c r="D27" s="6" t="s">
        <v>25</v>
      </c>
      <c r="E27" s="6" t="s">
        <v>26</v>
      </c>
      <c r="F27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16150</v>
      </c>
    </row>
    <row r="28" spans="1:6" x14ac:dyDescent="0.2">
      <c r="A28" s="3">
        <v>27</v>
      </c>
      <c r="B28" s="5">
        <v>45802</v>
      </c>
      <c r="C28" s="6" t="s">
        <v>24</v>
      </c>
      <c r="D28" s="6" t="s">
        <v>25</v>
      </c>
      <c r="E28" s="6" t="s">
        <v>26</v>
      </c>
      <c r="F28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11150</v>
      </c>
    </row>
    <row r="29" spans="1:6" x14ac:dyDescent="0.2">
      <c r="A29" s="3">
        <v>28</v>
      </c>
      <c r="B29" s="5">
        <v>45802</v>
      </c>
      <c r="C29" s="6" t="s">
        <v>24</v>
      </c>
      <c r="D29" s="6" t="s">
        <v>25</v>
      </c>
      <c r="E29" s="6" t="s">
        <v>26</v>
      </c>
      <c r="F29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18650</v>
      </c>
    </row>
    <row r="30" spans="1:6" x14ac:dyDescent="0.2">
      <c r="A30" s="3">
        <v>29</v>
      </c>
      <c r="B30" s="5">
        <v>45802</v>
      </c>
      <c r="C30" s="6" t="s">
        <v>24</v>
      </c>
      <c r="D30" s="6" t="s">
        <v>25</v>
      </c>
      <c r="E30" s="6" t="s">
        <v>26</v>
      </c>
      <c r="F30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45150</v>
      </c>
    </row>
    <row r="31" spans="1:6" x14ac:dyDescent="0.2">
      <c r="A31" s="3">
        <v>30</v>
      </c>
      <c r="B31" s="5">
        <v>45802</v>
      </c>
      <c r="C31" s="6" t="s">
        <v>24</v>
      </c>
      <c r="D31" s="6" t="s">
        <v>25</v>
      </c>
      <c r="E31" s="6" t="s">
        <v>26</v>
      </c>
      <c r="F31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29150</v>
      </c>
    </row>
    <row r="32" spans="1:6" x14ac:dyDescent="0.2">
      <c r="A32" s="3">
        <v>31</v>
      </c>
      <c r="B32" s="5">
        <v>45802</v>
      </c>
      <c r="C32" s="6" t="s">
        <v>31</v>
      </c>
      <c r="D32" s="6" t="s">
        <v>32</v>
      </c>
      <c r="E32" s="6" t="s">
        <v>33</v>
      </c>
      <c r="F32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78150</v>
      </c>
    </row>
    <row r="33" spans="1:6" x14ac:dyDescent="0.2">
      <c r="A33" s="3">
        <v>32</v>
      </c>
      <c r="B33" s="5">
        <v>45802</v>
      </c>
      <c r="C33" s="6" t="s">
        <v>24</v>
      </c>
      <c r="D33" s="6" t="s">
        <v>25</v>
      </c>
      <c r="E33" s="6" t="s">
        <v>26</v>
      </c>
      <c r="F33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70150</v>
      </c>
    </row>
    <row r="34" spans="1:6" x14ac:dyDescent="0.2">
      <c r="A34" s="3">
        <v>33</v>
      </c>
      <c r="B34" s="5">
        <v>45802</v>
      </c>
      <c r="C34" s="6" t="s">
        <v>31</v>
      </c>
      <c r="D34" s="6" t="s">
        <v>32</v>
      </c>
      <c r="E34" s="6" t="s">
        <v>33</v>
      </c>
      <c r="F34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49650</v>
      </c>
    </row>
    <row r="35" spans="1:6" x14ac:dyDescent="0.2">
      <c r="A35" s="3">
        <v>34</v>
      </c>
      <c r="B35" s="5">
        <v>45802</v>
      </c>
      <c r="C35" s="6" t="s">
        <v>31</v>
      </c>
      <c r="D35" s="6" t="s">
        <v>32</v>
      </c>
      <c r="E35" s="6" t="s">
        <v>33</v>
      </c>
      <c r="F35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49650</v>
      </c>
    </row>
    <row r="36" spans="1:6" x14ac:dyDescent="0.2">
      <c r="A36" s="3">
        <v>35</v>
      </c>
      <c r="B36" s="5">
        <v>45802</v>
      </c>
      <c r="C36" s="6" t="s">
        <v>31</v>
      </c>
      <c r="D36" s="6" t="s">
        <v>32</v>
      </c>
      <c r="E36" s="6" t="s">
        <v>33</v>
      </c>
      <c r="F36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44650</v>
      </c>
    </row>
    <row r="37" spans="1:6" x14ac:dyDescent="0.2">
      <c r="A37" s="3">
        <v>36</v>
      </c>
      <c r="B37" s="5">
        <v>45802</v>
      </c>
      <c r="C37" s="6" t="s">
        <v>31</v>
      </c>
      <c r="D37" s="6" t="s">
        <v>32</v>
      </c>
      <c r="E37" s="6" t="s">
        <v>33</v>
      </c>
      <c r="F37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41150</v>
      </c>
    </row>
    <row r="38" spans="1:6" x14ac:dyDescent="0.2">
      <c r="A38" s="3">
        <v>37</v>
      </c>
      <c r="B38" s="5">
        <v>45802</v>
      </c>
      <c r="C38" s="6" t="s">
        <v>31</v>
      </c>
      <c r="D38" s="6" t="s">
        <v>32</v>
      </c>
      <c r="E38" s="6" t="s">
        <v>33</v>
      </c>
      <c r="F38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47150</v>
      </c>
    </row>
    <row r="39" spans="1:6" x14ac:dyDescent="0.2">
      <c r="A39" s="3">
        <v>38</v>
      </c>
      <c r="B39" s="5">
        <v>45802</v>
      </c>
      <c r="C39" s="6" t="s">
        <v>31</v>
      </c>
      <c r="D39" s="6" t="s">
        <v>32</v>
      </c>
      <c r="E39" s="6" t="s">
        <v>33</v>
      </c>
      <c r="F39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44650</v>
      </c>
    </row>
    <row r="40" spans="1:6" x14ac:dyDescent="0.2">
      <c r="A40" s="3">
        <v>39</v>
      </c>
      <c r="B40" s="5">
        <v>45802</v>
      </c>
      <c r="C40" s="6" t="s">
        <v>31</v>
      </c>
      <c r="D40" s="6" t="s">
        <v>32</v>
      </c>
      <c r="E40" s="6" t="s">
        <v>33</v>
      </c>
      <c r="F40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47150</v>
      </c>
    </row>
    <row r="41" spans="1:6" x14ac:dyDescent="0.2">
      <c r="A41" s="3">
        <v>40</v>
      </c>
      <c r="B41" s="5">
        <v>45802</v>
      </c>
      <c r="C41" s="6" t="s">
        <v>31</v>
      </c>
      <c r="D41" s="6" t="s">
        <v>32</v>
      </c>
      <c r="E41" s="6" t="s">
        <v>33</v>
      </c>
      <c r="F41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47150</v>
      </c>
    </row>
    <row r="42" spans="1:6" x14ac:dyDescent="0.2">
      <c r="A42" s="3">
        <v>41</v>
      </c>
      <c r="B42" s="5">
        <v>45802</v>
      </c>
      <c r="C42" s="6" t="s">
        <v>24</v>
      </c>
      <c r="D42" s="6" t="s">
        <v>25</v>
      </c>
      <c r="E42" s="6" t="s">
        <v>26</v>
      </c>
      <c r="F42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26150</v>
      </c>
    </row>
    <row r="43" spans="1:6" x14ac:dyDescent="0.2">
      <c r="A43" s="3">
        <v>42</v>
      </c>
      <c r="B43" s="5">
        <v>45802</v>
      </c>
      <c r="C43" s="6" t="s">
        <v>24</v>
      </c>
      <c r="D43" s="6" t="s">
        <v>25</v>
      </c>
      <c r="E43" s="6" t="s">
        <v>26</v>
      </c>
      <c r="F43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33150</v>
      </c>
    </row>
    <row r="44" spans="1:6" x14ac:dyDescent="0.2">
      <c r="A44" s="3">
        <v>43</v>
      </c>
      <c r="B44" s="5">
        <v>45802</v>
      </c>
      <c r="C44" s="6" t="s">
        <v>34</v>
      </c>
      <c r="D44" s="6" t="s">
        <v>35</v>
      </c>
      <c r="E44" s="6" t="s">
        <v>36</v>
      </c>
      <c r="F44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9150</v>
      </c>
    </row>
    <row r="45" spans="1:6" x14ac:dyDescent="0.2">
      <c r="A45" s="3">
        <v>44</v>
      </c>
      <c r="B45" s="5">
        <v>45802</v>
      </c>
      <c r="C45" s="8" t="s">
        <v>24</v>
      </c>
      <c r="D45" s="8" t="s">
        <v>25</v>
      </c>
      <c r="E45" s="8" t="s">
        <v>26</v>
      </c>
      <c r="F45" s="9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145150</v>
      </c>
    </row>
    <row r="46" spans="1:6" x14ac:dyDescent="0.2">
      <c r="A46" s="3">
        <v>45</v>
      </c>
      <c r="B46" s="5">
        <v>45802</v>
      </c>
      <c r="C46" s="10" t="s">
        <v>24</v>
      </c>
      <c r="D46" s="10" t="s">
        <v>25</v>
      </c>
      <c r="E46" s="10" t="s">
        <v>26</v>
      </c>
      <c r="F46" s="11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21650</v>
      </c>
    </row>
    <row r="47" spans="1:6" x14ac:dyDescent="0.2">
      <c r="A47" s="3">
        <v>46</v>
      </c>
      <c r="B47" s="5">
        <v>45833</v>
      </c>
      <c r="C47" s="10" t="s">
        <v>24</v>
      </c>
      <c r="D47" s="10" t="s">
        <v>25</v>
      </c>
      <c r="E47" s="10" t="s">
        <v>26</v>
      </c>
      <c r="F47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16650</v>
      </c>
    </row>
    <row r="48" spans="1:6" x14ac:dyDescent="0.2">
      <c r="A48" s="3">
        <v>47</v>
      </c>
      <c r="B48" s="5">
        <v>45833</v>
      </c>
      <c r="C48" s="10" t="s">
        <v>24</v>
      </c>
      <c r="D48" s="10" t="s">
        <v>25</v>
      </c>
      <c r="E48" s="10" t="s">
        <v>26</v>
      </c>
      <c r="F48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10150</v>
      </c>
    </row>
    <row r="49" spans="1:6" x14ac:dyDescent="0.2">
      <c r="A49" s="3">
        <v>48</v>
      </c>
      <c r="B49" s="5">
        <v>45833</v>
      </c>
      <c r="C49" s="6" t="s">
        <v>31</v>
      </c>
      <c r="D49" s="6" t="s">
        <v>32</v>
      </c>
      <c r="E49" s="6" t="s">
        <v>33</v>
      </c>
      <c r="F49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39650</v>
      </c>
    </row>
    <row r="50" spans="1:6" x14ac:dyDescent="0.2">
      <c r="A50" s="3">
        <v>49</v>
      </c>
      <c r="B50" s="5">
        <v>45833</v>
      </c>
      <c r="C50" s="6" t="s">
        <v>31</v>
      </c>
      <c r="D50" s="6" t="s">
        <v>32</v>
      </c>
      <c r="E50" s="6" t="s">
        <v>33</v>
      </c>
      <c r="F50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39650</v>
      </c>
    </row>
    <row r="51" spans="1:6" x14ac:dyDescent="0.2">
      <c r="A51" s="3">
        <v>50</v>
      </c>
      <c r="B51" s="5">
        <v>45833</v>
      </c>
      <c r="C51" s="10" t="s">
        <v>24</v>
      </c>
      <c r="D51" s="10" t="s">
        <v>25</v>
      </c>
      <c r="E51" s="10" t="s">
        <v>26</v>
      </c>
      <c r="F51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55150</v>
      </c>
    </row>
    <row r="52" spans="1:6" x14ac:dyDescent="0.2">
      <c r="A52" s="3">
        <v>51</v>
      </c>
      <c r="B52" s="5">
        <v>45833</v>
      </c>
      <c r="C52" s="10" t="s">
        <v>24</v>
      </c>
      <c r="D52" s="10" t="s">
        <v>25</v>
      </c>
      <c r="E52" s="10" t="s">
        <v>26</v>
      </c>
      <c r="F52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36650</v>
      </c>
    </row>
    <row r="53" spans="1:6" x14ac:dyDescent="0.2">
      <c r="A53" s="3">
        <v>52</v>
      </c>
      <c r="B53" s="5">
        <v>45833</v>
      </c>
      <c r="C53" s="10" t="s">
        <v>24</v>
      </c>
      <c r="D53" s="10" t="s">
        <v>25</v>
      </c>
      <c r="E53" s="10" t="s">
        <v>26</v>
      </c>
      <c r="F53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128150</v>
      </c>
    </row>
    <row r="54" spans="1:6" x14ac:dyDescent="0.2">
      <c r="A54" s="3">
        <v>53</v>
      </c>
      <c r="B54" s="5">
        <v>45833</v>
      </c>
      <c r="C54" s="10" t="s">
        <v>24</v>
      </c>
      <c r="D54" s="10" t="s">
        <v>25</v>
      </c>
      <c r="E54" s="10" t="s">
        <v>26</v>
      </c>
      <c r="F54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13650</v>
      </c>
    </row>
    <row r="55" spans="1:6" x14ac:dyDescent="0.2">
      <c r="A55" s="3">
        <v>54</v>
      </c>
      <c r="B55" s="5">
        <v>45833</v>
      </c>
      <c r="C55" s="10" t="s">
        <v>24</v>
      </c>
      <c r="D55" s="10" t="s">
        <v>25</v>
      </c>
      <c r="E55" s="10" t="s">
        <v>26</v>
      </c>
      <c r="F55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16650</v>
      </c>
    </row>
    <row r="56" spans="1:6" x14ac:dyDescent="0.2">
      <c r="A56" s="3">
        <v>55</v>
      </c>
      <c r="B56" s="5">
        <v>45833</v>
      </c>
      <c r="C56" s="10" t="s">
        <v>24</v>
      </c>
      <c r="D56" s="10" t="s">
        <v>25</v>
      </c>
      <c r="E56" s="10" t="s">
        <v>26</v>
      </c>
      <c r="F56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10150</v>
      </c>
    </row>
    <row r="57" spans="1:6" x14ac:dyDescent="0.2">
      <c r="A57" s="3">
        <v>56</v>
      </c>
      <c r="B57" s="5">
        <v>45833</v>
      </c>
      <c r="C57" s="10" t="s">
        <v>24</v>
      </c>
      <c r="D57" s="10" t="s">
        <v>25</v>
      </c>
      <c r="E57" s="10" t="s">
        <v>26</v>
      </c>
      <c r="F57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12150</v>
      </c>
    </row>
    <row r="58" spans="1:6" x14ac:dyDescent="0.2">
      <c r="A58" s="3">
        <v>57</v>
      </c>
      <c r="B58" s="5">
        <v>45833</v>
      </c>
      <c r="C58" s="10" t="s">
        <v>24</v>
      </c>
      <c r="D58" s="10" t="s">
        <v>25</v>
      </c>
      <c r="E58" s="10" t="s">
        <v>26</v>
      </c>
      <c r="F58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20650</v>
      </c>
    </row>
    <row r="59" spans="1:6" x14ac:dyDescent="0.2">
      <c r="A59" s="3">
        <v>58</v>
      </c>
      <c r="B59" s="5">
        <v>45856</v>
      </c>
      <c r="C59" s="10" t="s">
        <v>24</v>
      </c>
      <c r="D59" s="10" t="s">
        <v>25</v>
      </c>
      <c r="E59" s="10" t="s">
        <v>26</v>
      </c>
      <c r="F59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12650</v>
      </c>
    </row>
    <row r="60" spans="1:6" x14ac:dyDescent="0.2">
      <c r="A60" s="3">
        <v>59</v>
      </c>
      <c r="B60" s="5">
        <v>45856</v>
      </c>
      <c r="C60" s="10" t="s">
        <v>24</v>
      </c>
      <c r="D60" s="10" t="s">
        <v>25</v>
      </c>
      <c r="E60" s="10" t="s">
        <v>26</v>
      </c>
      <c r="F60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18150</v>
      </c>
    </row>
    <row r="61" spans="1:6" x14ac:dyDescent="0.2">
      <c r="A61" s="3">
        <v>60</v>
      </c>
      <c r="B61" s="5">
        <v>45856</v>
      </c>
      <c r="C61" s="10" t="s">
        <v>24</v>
      </c>
      <c r="D61" s="10" t="s">
        <v>25</v>
      </c>
      <c r="E61" s="10" t="s">
        <v>26</v>
      </c>
      <c r="F61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26650</v>
      </c>
    </row>
    <row r="62" spans="1:6" x14ac:dyDescent="0.2">
      <c r="A62" s="3">
        <v>61</v>
      </c>
      <c r="B62" s="5">
        <v>45856</v>
      </c>
      <c r="C62" s="10" t="s">
        <v>24</v>
      </c>
      <c r="D62" s="10" t="s">
        <v>25</v>
      </c>
      <c r="E62" s="10" t="s">
        <v>26</v>
      </c>
      <c r="F62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67150</v>
      </c>
    </row>
    <row r="63" spans="1:6" x14ac:dyDescent="0.2">
      <c r="A63" s="3">
        <v>62</v>
      </c>
      <c r="B63" s="5">
        <v>45856</v>
      </c>
      <c r="C63" s="10" t="s">
        <v>24</v>
      </c>
      <c r="D63" s="10" t="s">
        <v>25</v>
      </c>
      <c r="E63" s="10" t="s">
        <v>26</v>
      </c>
      <c r="F63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48150</v>
      </c>
    </row>
    <row r="64" spans="1:6" x14ac:dyDescent="0.2">
      <c r="A64" s="3">
        <v>63</v>
      </c>
      <c r="B64" s="5">
        <v>45856</v>
      </c>
      <c r="C64" s="10" t="s">
        <v>24</v>
      </c>
      <c r="D64" s="10" t="s">
        <v>25</v>
      </c>
      <c r="E64" s="10" t="s">
        <v>26</v>
      </c>
      <c r="F64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30150</v>
      </c>
    </row>
    <row r="65" spans="1:6" x14ac:dyDescent="0.2">
      <c r="A65" s="3">
        <v>64</v>
      </c>
      <c r="B65" s="5">
        <v>45856</v>
      </c>
      <c r="C65" s="6" t="s">
        <v>31</v>
      </c>
      <c r="D65" s="6" t="s">
        <v>32</v>
      </c>
      <c r="E65" s="6" t="s">
        <v>33</v>
      </c>
      <c r="F65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57150</v>
      </c>
    </row>
    <row r="66" spans="1:6" x14ac:dyDescent="0.2">
      <c r="A66" s="3">
        <v>65</v>
      </c>
      <c r="B66" s="5">
        <v>45856</v>
      </c>
      <c r="C66" s="10" t="s">
        <v>24</v>
      </c>
      <c r="D66" s="10" t="s">
        <v>25</v>
      </c>
      <c r="E66" s="10" t="s">
        <v>26</v>
      </c>
      <c r="F66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26650</v>
      </c>
    </row>
    <row r="67" spans="1:6" x14ac:dyDescent="0.2">
      <c r="A67" s="3">
        <v>66</v>
      </c>
      <c r="B67" s="5">
        <v>45856</v>
      </c>
      <c r="C67" s="10" t="s">
        <v>24</v>
      </c>
      <c r="D67" s="10" t="s">
        <v>25</v>
      </c>
      <c r="E67" s="10" t="s">
        <v>26</v>
      </c>
      <c r="F67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8650</v>
      </c>
    </row>
    <row r="68" spans="1:6" x14ac:dyDescent="0.2">
      <c r="A68" s="3">
        <v>67</v>
      </c>
      <c r="B68" s="5">
        <v>45856</v>
      </c>
      <c r="C68" s="10" t="s">
        <v>24</v>
      </c>
      <c r="D68" s="10" t="s">
        <v>25</v>
      </c>
      <c r="E68" s="10" t="s">
        <v>26</v>
      </c>
      <c r="F68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27150</v>
      </c>
    </row>
    <row r="69" spans="1:6" x14ac:dyDescent="0.2">
      <c r="A69" s="3">
        <v>68</v>
      </c>
      <c r="B69" s="5">
        <v>45856</v>
      </c>
      <c r="C69" s="10" t="s">
        <v>24</v>
      </c>
      <c r="D69" s="10" t="s">
        <v>25</v>
      </c>
      <c r="E69" s="10" t="s">
        <v>26</v>
      </c>
      <c r="F69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15150</v>
      </c>
    </row>
    <row r="70" spans="1:6" x14ac:dyDescent="0.2">
      <c r="A70" s="3">
        <v>69</v>
      </c>
      <c r="B70" s="5">
        <v>45856</v>
      </c>
      <c r="C70" s="10" t="s">
        <v>24</v>
      </c>
      <c r="D70" s="10" t="s">
        <v>25</v>
      </c>
      <c r="E70" s="10" t="s">
        <v>26</v>
      </c>
      <c r="F70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15150</v>
      </c>
    </row>
    <row r="71" spans="1:6" x14ac:dyDescent="0.2">
      <c r="A71" s="3">
        <v>70</v>
      </c>
      <c r="B71" s="5">
        <v>45856</v>
      </c>
      <c r="C71" s="10" t="s">
        <v>24</v>
      </c>
      <c r="D71" s="10" t="s">
        <v>25</v>
      </c>
      <c r="E71" s="10" t="s">
        <v>26</v>
      </c>
      <c r="F71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35150</v>
      </c>
    </row>
    <row r="72" spans="1:6" x14ac:dyDescent="0.2">
      <c r="A72" s="3">
        <v>71</v>
      </c>
      <c r="B72" s="5">
        <v>45854</v>
      </c>
      <c r="C72" s="6" t="s">
        <v>204</v>
      </c>
      <c r="D72" s="6" t="s">
        <v>205</v>
      </c>
      <c r="E72" s="6" t="s">
        <v>206</v>
      </c>
      <c r="F72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65150</v>
      </c>
    </row>
    <row r="73" spans="1:6" x14ac:dyDescent="0.2">
      <c r="A73" s="3">
        <v>72</v>
      </c>
      <c r="B73" s="5">
        <v>45856</v>
      </c>
      <c r="C73" s="10" t="s">
        <v>24</v>
      </c>
      <c r="D73" s="10" t="s">
        <v>25</v>
      </c>
      <c r="E73" s="10" t="s">
        <v>26</v>
      </c>
      <c r="F73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42150</v>
      </c>
    </row>
    <row r="74" spans="1:6" x14ac:dyDescent="0.2">
      <c r="A74" s="3">
        <v>73</v>
      </c>
      <c r="B74" s="5">
        <v>45856</v>
      </c>
      <c r="C74" s="10" t="s">
        <v>24</v>
      </c>
      <c r="D74" s="10" t="s">
        <v>25</v>
      </c>
      <c r="E74" s="10" t="s">
        <v>26</v>
      </c>
      <c r="F74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24650</v>
      </c>
    </row>
    <row r="75" spans="1:6" x14ac:dyDescent="0.2">
      <c r="A75" s="3">
        <v>74</v>
      </c>
      <c r="B75" s="5">
        <v>45856</v>
      </c>
      <c r="C75" s="10" t="s">
        <v>24</v>
      </c>
      <c r="D75" s="10" t="s">
        <v>25</v>
      </c>
      <c r="E75" s="10" t="s">
        <v>26</v>
      </c>
      <c r="F75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16150</v>
      </c>
    </row>
    <row r="76" spans="1:6" x14ac:dyDescent="0.2">
      <c r="A76" s="3">
        <v>75</v>
      </c>
      <c r="B76" s="5">
        <v>45856</v>
      </c>
      <c r="C76" s="10" t="s">
        <v>24</v>
      </c>
      <c r="D76" s="10" t="s">
        <v>25</v>
      </c>
      <c r="E76" s="10" t="s">
        <v>26</v>
      </c>
      <c r="F76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8150</v>
      </c>
    </row>
    <row r="77" spans="1:6" x14ac:dyDescent="0.2">
      <c r="A77" s="3">
        <v>76</v>
      </c>
      <c r="B77" s="5">
        <v>45856</v>
      </c>
      <c r="C77" s="10" t="s">
        <v>24</v>
      </c>
      <c r="D77" s="10" t="s">
        <v>25</v>
      </c>
      <c r="E77" s="10" t="s">
        <v>26</v>
      </c>
      <c r="F77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16650</v>
      </c>
    </row>
    <row r="78" spans="1:6" x14ac:dyDescent="0.2">
      <c r="A78" s="3">
        <v>77</v>
      </c>
      <c r="B78" s="5">
        <v>45894</v>
      </c>
      <c r="C78" s="10" t="s">
        <v>24</v>
      </c>
      <c r="D78" s="10" t="s">
        <v>25</v>
      </c>
      <c r="E78" s="10" t="s">
        <v>26</v>
      </c>
      <c r="F78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137150</v>
      </c>
    </row>
    <row r="79" spans="1:6" x14ac:dyDescent="0.2">
      <c r="A79" s="3">
        <v>78</v>
      </c>
      <c r="B79" s="5">
        <v>45894</v>
      </c>
      <c r="C79" s="10" t="s">
        <v>24</v>
      </c>
      <c r="D79" s="10" t="s">
        <v>25</v>
      </c>
      <c r="E79" s="10" t="s">
        <v>26</v>
      </c>
      <c r="F79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42150</v>
      </c>
    </row>
    <row r="80" spans="1:6" x14ac:dyDescent="0.2">
      <c r="A80" s="3">
        <v>79</v>
      </c>
      <c r="B80" s="5">
        <v>45894</v>
      </c>
      <c r="C80" s="10" t="s">
        <v>24</v>
      </c>
      <c r="D80" s="10" t="s">
        <v>25</v>
      </c>
      <c r="E80" s="10" t="s">
        <v>26</v>
      </c>
      <c r="F80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16650</v>
      </c>
    </row>
    <row r="81" spans="1:6" x14ac:dyDescent="0.2">
      <c r="A81" s="3">
        <v>80</v>
      </c>
      <c r="B81" s="5">
        <v>45894</v>
      </c>
      <c r="C81" s="10" t="s">
        <v>24</v>
      </c>
      <c r="D81" s="10" t="s">
        <v>25</v>
      </c>
      <c r="E81" s="10" t="s">
        <v>26</v>
      </c>
      <c r="F81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46150</v>
      </c>
    </row>
    <row r="82" spans="1:6" x14ac:dyDescent="0.2">
      <c r="A82" s="3">
        <v>81</v>
      </c>
      <c r="B82" s="5">
        <v>45894</v>
      </c>
      <c r="C82" s="10" t="s">
        <v>24</v>
      </c>
      <c r="D82" s="10" t="s">
        <v>25</v>
      </c>
      <c r="E82" s="10" t="s">
        <v>26</v>
      </c>
      <c r="F82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28150</v>
      </c>
    </row>
    <row r="83" spans="1:6" x14ac:dyDescent="0.2">
      <c r="A83" s="3">
        <v>82</v>
      </c>
      <c r="B83" s="5">
        <v>45894</v>
      </c>
      <c r="C83" s="10" t="s">
        <v>24</v>
      </c>
      <c r="D83" s="10" t="s">
        <v>25</v>
      </c>
      <c r="E83" s="10" t="s">
        <v>26</v>
      </c>
      <c r="F83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37150</v>
      </c>
    </row>
    <row r="84" spans="1:6" x14ac:dyDescent="0.2">
      <c r="A84" s="3">
        <v>83</v>
      </c>
      <c r="B84" s="5">
        <v>45894</v>
      </c>
      <c r="C84" s="10" t="s">
        <v>24</v>
      </c>
      <c r="D84" s="10" t="s">
        <v>25</v>
      </c>
      <c r="E84" s="10" t="s">
        <v>26</v>
      </c>
      <c r="F84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73650</v>
      </c>
    </row>
    <row r="85" spans="1:6" x14ac:dyDescent="0.2">
      <c r="A85" s="3">
        <v>84</v>
      </c>
      <c r="B85" s="5">
        <v>45894</v>
      </c>
      <c r="C85" s="6" t="s">
        <v>31</v>
      </c>
      <c r="D85" s="6" t="s">
        <v>32</v>
      </c>
      <c r="E85" s="6" t="s">
        <v>33</v>
      </c>
      <c r="F85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24150</v>
      </c>
    </row>
    <row r="86" spans="1:6" x14ac:dyDescent="0.2">
      <c r="A86" s="3">
        <v>85</v>
      </c>
      <c r="B86" s="5">
        <v>45894</v>
      </c>
      <c r="C86" s="6" t="s">
        <v>34</v>
      </c>
      <c r="D86" s="6" t="s">
        <v>35</v>
      </c>
      <c r="E86" s="6" t="s">
        <v>36</v>
      </c>
      <c r="F86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11650</v>
      </c>
    </row>
    <row r="87" spans="1:6" x14ac:dyDescent="0.2">
      <c r="A87" s="3">
        <v>86</v>
      </c>
      <c r="B87" s="5">
        <v>45894</v>
      </c>
      <c r="C87" s="10" t="s">
        <v>24</v>
      </c>
      <c r="D87" s="10" t="s">
        <v>25</v>
      </c>
      <c r="E87" s="10" t="s">
        <v>26</v>
      </c>
      <c r="F87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20150</v>
      </c>
    </row>
    <row r="88" spans="1:6" x14ac:dyDescent="0.2">
      <c r="A88" s="3">
        <v>87</v>
      </c>
      <c r="B88" s="5">
        <v>45894</v>
      </c>
      <c r="C88" s="6" t="s">
        <v>34</v>
      </c>
      <c r="D88" s="6" t="s">
        <v>35</v>
      </c>
      <c r="E88" s="6" t="s">
        <v>36</v>
      </c>
      <c r="F88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10150</v>
      </c>
    </row>
    <row r="89" spans="1:6" x14ac:dyDescent="0.2">
      <c r="A89" s="3">
        <v>88</v>
      </c>
      <c r="B89" s="5">
        <v>45915</v>
      </c>
      <c r="C89" s="10" t="s">
        <v>24</v>
      </c>
      <c r="D89" s="10" t="s">
        <v>25</v>
      </c>
      <c r="E89" s="10" t="s">
        <v>26</v>
      </c>
      <c r="F89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152150</v>
      </c>
    </row>
    <row r="90" spans="1:6" x14ac:dyDescent="0.2">
      <c r="A90" s="3">
        <v>89</v>
      </c>
      <c r="B90" s="5">
        <v>45915</v>
      </c>
      <c r="C90" s="10" t="s">
        <v>24</v>
      </c>
      <c r="D90" s="10" t="s">
        <v>25</v>
      </c>
      <c r="E90" s="10" t="s">
        <v>26</v>
      </c>
      <c r="F90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65150</v>
      </c>
    </row>
    <row r="91" spans="1:6" x14ac:dyDescent="0.2">
      <c r="A91" s="3">
        <v>90</v>
      </c>
      <c r="B91" s="5">
        <v>45915</v>
      </c>
      <c r="C91" s="6" t="s">
        <v>31</v>
      </c>
      <c r="D91" s="6" t="s">
        <v>32</v>
      </c>
      <c r="E91" s="6" t="s">
        <v>33</v>
      </c>
      <c r="F91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19150</v>
      </c>
    </row>
    <row r="92" spans="1:6" x14ac:dyDescent="0.2">
      <c r="A92" s="3">
        <v>91</v>
      </c>
      <c r="B92" s="5">
        <v>45915</v>
      </c>
      <c r="C92" s="10" t="s">
        <v>24</v>
      </c>
      <c r="D92" s="10" t="s">
        <v>25</v>
      </c>
      <c r="E92" s="10" t="s">
        <v>26</v>
      </c>
      <c r="F92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12650</v>
      </c>
    </row>
    <row r="93" spans="1:6" x14ac:dyDescent="0.2">
      <c r="A93" s="3">
        <v>92</v>
      </c>
      <c r="B93" s="5">
        <v>45915</v>
      </c>
      <c r="C93" s="10" t="s">
        <v>24</v>
      </c>
      <c r="D93" s="10" t="s">
        <v>25</v>
      </c>
      <c r="E93" s="10" t="s">
        <v>26</v>
      </c>
      <c r="F93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14150</v>
      </c>
    </row>
    <row r="94" spans="1:6" x14ac:dyDescent="0.2">
      <c r="A94" s="3">
        <v>93</v>
      </c>
      <c r="B94" s="5">
        <v>45915</v>
      </c>
      <c r="C94" s="10" t="s">
        <v>24</v>
      </c>
      <c r="D94" s="10" t="s">
        <v>25</v>
      </c>
      <c r="E94" s="10" t="s">
        <v>26</v>
      </c>
      <c r="F94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97150</v>
      </c>
    </row>
    <row r="95" spans="1:6" x14ac:dyDescent="0.2">
      <c r="A95" s="3">
        <v>94</v>
      </c>
      <c r="B95" s="5">
        <v>45915</v>
      </c>
      <c r="C95" s="10" t="s">
        <v>24</v>
      </c>
      <c r="D95" s="10" t="s">
        <v>25</v>
      </c>
      <c r="E95" s="10" t="s">
        <v>26</v>
      </c>
      <c r="F95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9650</v>
      </c>
    </row>
    <row r="96" spans="1:6" x14ac:dyDescent="0.2">
      <c r="A96" s="3">
        <v>95</v>
      </c>
      <c r="B96" s="5">
        <v>45915</v>
      </c>
      <c r="C96" s="10" t="s">
        <v>24</v>
      </c>
      <c r="D96" s="10" t="s">
        <v>25</v>
      </c>
      <c r="E96" s="10" t="s">
        <v>26</v>
      </c>
      <c r="F96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21150</v>
      </c>
    </row>
    <row r="97" spans="1:6" x14ac:dyDescent="0.2">
      <c r="A97" s="3">
        <v>96</v>
      </c>
      <c r="B97" s="5">
        <v>45915</v>
      </c>
      <c r="C97" s="10" t="s">
        <v>24</v>
      </c>
      <c r="D97" s="10" t="s">
        <v>25</v>
      </c>
      <c r="E97" s="10" t="s">
        <v>26</v>
      </c>
      <c r="F97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24150</v>
      </c>
    </row>
    <row r="98" spans="1:6" x14ac:dyDescent="0.2">
      <c r="A98" s="3">
        <v>97</v>
      </c>
      <c r="B98" s="5">
        <v>45915</v>
      </c>
      <c r="C98" s="10" t="s">
        <v>24</v>
      </c>
      <c r="D98" s="10" t="s">
        <v>25</v>
      </c>
      <c r="E98" s="10" t="s">
        <v>26</v>
      </c>
      <c r="F98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30150</v>
      </c>
    </row>
    <row r="99" spans="1:6" x14ac:dyDescent="0.2">
      <c r="A99" s="3">
        <v>98</v>
      </c>
      <c r="B99" s="5">
        <v>45915</v>
      </c>
      <c r="C99" s="10" t="s">
        <v>24</v>
      </c>
      <c r="D99" s="10" t="s">
        <v>25</v>
      </c>
      <c r="E99" s="10" t="s">
        <v>26</v>
      </c>
      <c r="F99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10150</v>
      </c>
    </row>
    <row r="100" spans="1:6" x14ac:dyDescent="0.2">
      <c r="A100" s="3">
        <v>99</v>
      </c>
      <c r="B100" s="5">
        <v>45915</v>
      </c>
      <c r="C100" s="10" t="s">
        <v>24</v>
      </c>
      <c r="D100" s="10" t="s">
        <v>25</v>
      </c>
      <c r="E100" s="10" t="s">
        <v>26</v>
      </c>
      <c r="F100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4150</v>
      </c>
    </row>
    <row r="101" spans="1:6" x14ac:dyDescent="0.2">
      <c r="A101" s="3">
        <v>100</v>
      </c>
      <c r="B101" s="5">
        <v>45915</v>
      </c>
      <c r="C101" s="10" t="s">
        <v>24</v>
      </c>
      <c r="D101" s="10" t="s">
        <v>25</v>
      </c>
      <c r="E101" s="10" t="s">
        <v>26</v>
      </c>
      <c r="F101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15150</v>
      </c>
    </row>
    <row r="102" spans="1:6" x14ac:dyDescent="0.2">
      <c r="A102">
        <v>101</v>
      </c>
      <c r="B102" s="5">
        <v>45920</v>
      </c>
      <c r="C102" s="29" t="s">
        <v>24</v>
      </c>
      <c r="D102" s="29" t="s">
        <v>25</v>
      </c>
      <c r="E102" s="29" t="s">
        <v>26</v>
      </c>
      <c r="F102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48150</v>
      </c>
    </row>
    <row r="103" spans="1:6" x14ac:dyDescent="0.2">
      <c r="A103">
        <v>102</v>
      </c>
      <c r="B103" s="5">
        <v>45920</v>
      </c>
      <c r="C103" s="29" t="s">
        <v>204</v>
      </c>
      <c r="D103" s="29" t="s">
        <v>205</v>
      </c>
      <c r="E103" s="29" t="s">
        <v>206</v>
      </c>
      <c r="F103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85150</v>
      </c>
    </row>
    <row r="104" spans="1:6" x14ac:dyDescent="0.2">
      <c r="A104">
        <v>103</v>
      </c>
      <c r="B104" s="5">
        <v>45930</v>
      </c>
      <c r="C104" s="29" t="s">
        <v>24</v>
      </c>
      <c r="D104" s="29" t="s">
        <v>25</v>
      </c>
      <c r="E104" s="29" t="s">
        <v>26</v>
      </c>
      <c r="F104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8150</v>
      </c>
    </row>
    <row r="105" spans="1:6" x14ac:dyDescent="0.2">
      <c r="A105">
        <v>104</v>
      </c>
      <c r="B105" s="5">
        <v>45930</v>
      </c>
      <c r="C105" s="29" t="s">
        <v>24</v>
      </c>
      <c r="D105" s="29" t="s">
        <v>25</v>
      </c>
      <c r="E105" s="29" t="s">
        <v>26</v>
      </c>
      <c r="F105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78150</v>
      </c>
    </row>
    <row r="106" spans="1:6" x14ac:dyDescent="0.2">
      <c r="A106">
        <v>105</v>
      </c>
      <c r="B106" s="5">
        <v>45930</v>
      </c>
      <c r="C106" s="29" t="s">
        <v>24</v>
      </c>
      <c r="D106" s="29" t="s">
        <v>25</v>
      </c>
      <c r="E106" s="29" t="s">
        <v>26</v>
      </c>
      <c r="F106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25150</v>
      </c>
    </row>
    <row r="107" spans="1:6" x14ac:dyDescent="0.2">
      <c r="A107" s="3">
        <v>106</v>
      </c>
      <c r="B107" s="5">
        <v>45930</v>
      </c>
      <c r="C107" s="6" t="s">
        <v>24</v>
      </c>
      <c r="D107" s="6" t="s">
        <v>25</v>
      </c>
      <c r="E107" s="6" t="s">
        <v>26</v>
      </c>
      <c r="F107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25150</v>
      </c>
    </row>
    <row r="108" spans="1:6" x14ac:dyDescent="0.2">
      <c r="A108" s="3">
        <v>107</v>
      </c>
      <c r="B108" s="5">
        <v>45930</v>
      </c>
      <c r="C108" s="6" t="s">
        <v>312</v>
      </c>
      <c r="D108" s="6" t="s">
        <v>313</v>
      </c>
      <c r="E108" s="6" t="s">
        <v>311</v>
      </c>
      <c r="F108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13826</v>
      </c>
    </row>
    <row r="109" spans="1:6" x14ac:dyDescent="0.2">
      <c r="A109" s="3">
        <v>108</v>
      </c>
      <c r="B109" s="5">
        <v>45930</v>
      </c>
      <c r="C109" s="6" t="s">
        <v>24</v>
      </c>
      <c r="D109" s="6" t="s">
        <v>25</v>
      </c>
      <c r="E109" s="6" t="s">
        <v>26</v>
      </c>
      <c r="F109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12150</v>
      </c>
    </row>
    <row r="110" spans="1:6" x14ac:dyDescent="0.2">
      <c r="A110" s="3">
        <v>109</v>
      </c>
      <c r="B110" s="5">
        <v>45930</v>
      </c>
      <c r="C110" s="6" t="s">
        <v>24</v>
      </c>
      <c r="D110" s="6" t="s">
        <v>25</v>
      </c>
      <c r="E110" s="6" t="s">
        <v>26</v>
      </c>
      <c r="F110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25150</v>
      </c>
    </row>
    <row r="111" spans="1:6" x14ac:dyDescent="0.2">
      <c r="A111" s="3">
        <v>110</v>
      </c>
      <c r="B111" s="5">
        <v>45930</v>
      </c>
      <c r="C111" s="6" t="s">
        <v>31</v>
      </c>
      <c r="D111" s="6" t="s">
        <v>32</v>
      </c>
      <c r="E111" s="6" t="s">
        <v>33</v>
      </c>
      <c r="F111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11150</v>
      </c>
    </row>
    <row r="112" spans="1:6" x14ac:dyDescent="0.2">
      <c r="A112" s="3">
        <v>111</v>
      </c>
      <c r="B112" s="5">
        <v>45930</v>
      </c>
      <c r="C112" s="6" t="s">
        <v>315</v>
      </c>
      <c r="D112" s="6" t="s">
        <v>316</v>
      </c>
      <c r="E112" s="6" t="s">
        <v>317</v>
      </c>
      <c r="F112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6602</v>
      </c>
    </row>
    <row r="113" spans="1:6" x14ac:dyDescent="0.2">
      <c r="A113" s="3">
        <v>112</v>
      </c>
      <c r="B113" s="5">
        <v>45934</v>
      </c>
      <c r="C113" s="6" t="s">
        <v>323</v>
      </c>
      <c r="D113" s="6" t="s">
        <v>324</v>
      </c>
      <c r="E113" s="6" t="s">
        <v>325</v>
      </c>
      <c r="F113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2500</v>
      </c>
    </row>
    <row r="114" spans="1:6" x14ac:dyDescent="0.2">
      <c r="A114" s="3">
        <v>113</v>
      </c>
      <c r="B114" s="5">
        <v>45961</v>
      </c>
      <c r="C114" s="6" t="s">
        <v>312</v>
      </c>
      <c r="D114" s="6" t="s">
        <v>313</v>
      </c>
      <c r="E114" s="6" t="s">
        <v>311</v>
      </c>
      <c r="F114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13085</v>
      </c>
    </row>
    <row r="115" spans="1:6" x14ac:dyDescent="0.2">
      <c r="A115" s="3">
        <v>114</v>
      </c>
      <c r="B115" s="5">
        <v>45961</v>
      </c>
      <c r="C115" s="6" t="s">
        <v>24</v>
      </c>
      <c r="D115" s="6" t="s">
        <v>25</v>
      </c>
      <c r="E115" s="6" t="s">
        <v>26</v>
      </c>
      <c r="F115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18150</v>
      </c>
    </row>
    <row r="116" spans="1:6" x14ac:dyDescent="0.2">
      <c r="A116" s="3">
        <v>115</v>
      </c>
      <c r="B116" s="5">
        <v>45961</v>
      </c>
      <c r="C116" s="6" t="s">
        <v>24</v>
      </c>
      <c r="D116" s="6" t="s">
        <v>25</v>
      </c>
      <c r="E116" s="6" t="s">
        <v>26</v>
      </c>
      <c r="F116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14150</v>
      </c>
    </row>
    <row r="117" spans="1:6" x14ac:dyDescent="0.2">
      <c r="A117" s="3">
        <v>116</v>
      </c>
      <c r="B117" s="5">
        <v>45961</v>
      </c>
      <c r="C117" s="6" t="s">
        <v>24</v>
      </c>
      <c r="D117" s="6" t="s">
        <v>25</v>
      </c>
      <c r="E117" s="6" t="s">
        <v>26</v>
      </c>
      <c r="F117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30150</v>
      </c>
    </row>
    <row r="118" spans="1:6" x14ac:dyDescent="0.2">
      <c r="A118" s="3">
        <v>117</v>
      </c>
      <c r="B118" s="5">
        <v>45961</v>
      </c>
      <c r="C118" s="6" t="s">
        <v>24</v>
      </c>
      <c r="D118" s="6" t="s">
        <v>25</v>
      </c>
      <c r="E118" s="6" t="s">
        <v>26</v>
      </c>
      <c r="F118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10150</v>
      </c>
    </row>
    <row r="119" spans="1:6" x14ac:dyDescent="0.2">
      <c r="A119" s="3">
        <v>118</v>
      </c>
      <c r="B119" s="5">
        <v>45961</v>
      </c>
      <c r="C119" s="6" t="s">
        <v>24</v>
      </c>
      <c r="D119" s="6" t="s">
        <v>25</v>
      </c>
      <c r="E119" s="6" t="s">
        <v>26</v>
      </c>
      <c r="F119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30150</v>
      </c>
    </row>
    <row r="120" spans="1:6" x14ac:dyDescent="0.2">
      <c r="A120" s="3">
        <v>119</v>
      </c>
      <c r="B120" s="5">
        <v>45961</v>
      </c>
      <c r="C120" s="6" t="s">
        <v>312</v>
      </c>
      <c r="D120" s="6" t="s">
        <v>313</v>
      </c>
      <c r="E120" s="6" t="s">
        <v>311</v>
      </c>
      <c r="F120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19120</v>
      </c>
    </row>
    <row r="121" spans="1:6" x14ac:dyDescent="0.2">
      <c r="A121" s="3">
        <v>120</v>
      </c>
      <c r="B121" s="5">
        <v>45961</v>
      </c>
      <c r="C121" s="6" t="s">
        <v>315</v>
      </c>
      <c r="D121" s="6" t="s">
        <v>316</v>
      </c>
      <c r="E121" s="6" t="s">
        <v>317</v>
      </c>
      <c r="F121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21214</v>
      </c>
    </row>
    <row r="122" spans="1:6" x14ac:dyDescent="0.2">
      <c r="A122" s="3">
        <v>121</v>
      </c>
      <c r="B122" s="5">
        <v>45961</v>
      </c>
      <c r="C122" s="6" t="s">
        <v>24</v>
      </c>
      <c r="D122" s="6" t="s">
        <v>25</v>
      </c>
      <c r="E122" s="6" t="s">
        <v>26</v>
      </c>
      <c r="F122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67150</v>
      </c>
    </row>
    <row r="123" spans="1:6" x14ac:dyDescent="0.2">
      <c r="A123" s="3">
        <v>122</v>
      </c>
      <c r="B123" s="5">
        <v>45961</v>
      </c>
      <c r="C123" s="6" t="s">
        <v>24</v>
      </c>
      <c r="D123" s="6" t="s">
        <v>25</v>
      </c>
      <c r="E123" s="6" t="s">
        <v>26</v>
      </c>
      <c r="F123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25150</v>
      </c>
    </row>
    <row r="124" spans="1:6" x14ac:dyDescent="0.2">
      <c r="A124" s="3">
        <v>123</v>
      </c>
      <c r="B124" s="5">
        <v>45961</v>
      </c>
      <c r="C124" s="6" t="s">
        <v>312</v>
      </c>
      <c r="D124" s="6" t="s">
        <v>313</v>
      </c>
      <c r="E124" s="6" t="s">
        <v>311</v>
      </c>
      <c r="F124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13175</v>
      </c>
    </row>
    <row r="125" spans="1:6" x14ac:dyDescent="0.2">
      <c r="A125" s="3">
        <v>124</v>
      </c>
      <c r="B125" s="5">
        <v>45991</v>
      </c>
      <c r="C125" s="6" t="s">
        <v>312</v>
      </c>
      <c r="D125" s="6" t="s">
        <v>313</v>
      </c>
      <c r="E125" s="6" t="s">
        <v>311</v>
      </c>
      <c r="F125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32406</v>
      </c>
    </row>
    <row r="126" spans="1:6" x14ac:dyDescent="0.2">
      <c r="A126" s="3">
        <v>125</v>
      </c>
      <c r="B126" s="5">
        <v>45991</v>
      </c>
      <c r="C126" s="6" t="s">
        <v>312</v>
      </c>
      <c r="D126" s="6" t="s">
        <v>313</v>
      </c>
      <c r="E126" s="6" t="s">
        <v>311</v>
      </c>
      <c r="F126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26594</v>
      </c>
    </row>
    <row r="127" spans="1:6" x14ac:dyDescent="0.2">
      <c r="A127" s="3">
        <v>126</v>
      </c>
      <c r="B127" s="5">
        <v>45991</v>
      </c>
      <c r="C127" s="6" t="s">
        <v>315</v>
      </c>
      <c r="D127" s="6" t="s">
        <v>316</v>
      </c>
      <c r="E127" s="6" t="s">
        <v>317</v>
      </c>
      <c r="F127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6718</v>
      </c>
    </row>
    <row r="128" spans="1:6" x14ac:dyDescent="0.2">
      <c r="A128" s="3">
        <v>127</v>
      </c>
      <c r="B128" s="5">
        <v>45991</v>
      </c>
      <c r="C128" s="6" t="s">
        <v>24</v>
      </c>
      <c r="D128" s="6" t="s">
        <v>25</v>
      </c>
      <c r="E128" s="6" t="s">
        <v>26</v>
      </c>
      <c r="F128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10650</v>
      </c>
    </row>
    <row r="129" spans="1:6" x14ac:dyDescent="0.2">
      <c r="A129" s="3">
        <v>128</v>
      </c>
      <c r="B129" s="5">
        <v>45991</v>
      </c>
      <c r="C129" s="6" t="s">
        <v>24</v>
      </c>
      <c r="D129" s="6" t="s">
        <v>25</v>
      </c>
      <c r="E129" s="6" t="s">
        <v>26</v>
      </c>
      <c r="F129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20150</v>
      </c>
    </row>
    <row r="130" spans="1:6" x14ac:dyDescent="0.2">
      <c r="A130" s="3">
        <v>129</v>
      </c>
      <c r="B130" s="5">
        <v>45991</v>
      </c>
      <c r="C130" s="6" t="s">
        <v>24</v>
      </c>
      <c r="D130" s="6" t="s">
        <v>25</v>
      </c>
      <c r="E130" s="6" t="s">
        <v>26</v>
      </c>
      <c r="F130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22150</v>
      </c>
    </row>
    <row r="131" spans="1:6" x14ac:dyDescent="0.2">
      <c r="A131" s="3">
        <v>130</v>
      </c>
      <c r="B131" s="5">
        <v>45991</v>
      </c>
      <c r="C131" s="6" t="s">
        <v>24</v>
      </c>
      <c r="D131" s="6" t="s">
        <v>25</v>
      </c>
      <c r="E131" s="6" t="s">
        <v>26</v>
      </c>
      <c r="F131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19150</v>
      </c>
    </row>
    <row r="132" spans="1:6" x14ac:dyDescent="0.2">
      <c r="A132" s="3">
        <v>131</v>
      </c>
      <c r="B132" s="5">
        <v>45991</v>
      </c>
      <c r="C132" s="6" t="s">
        <v>24</v>
      </c>
      <c r="D132" s="6" t="s">
        <v>25</v>
      </c>
      <c r="E132" s="6" t="s">
        <v>26</v>
      </c>
      <c r="F132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21150</v>
      </c>
    </row>
    <row r="133" spans="1:6" x14ac:dyDescent="0.2">
      <c r="A133" s="3">
        <v>132</v>
      </c>
      <c r="B133" s="5">
        <v>45991</v>
      </c>
      <c r="C133" s="6" t="s">
        <v>24</v>
      </c>
      <c r="D133" s="6" t="s">
        <v>25</v>
      </c>
      <c r="E133" s="6" t="s">
        <v>26</v>
      </c>
      <c r="F133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22150</v>
      </c>
    </row>
    <row r="134" spans="1:6" x14ac:dyDescent="0.2">
      <c r="A134" s="3">
        <v>133</v>
      </c>
      <c r="B134" s="5">
        <v>45991</v>
      </c>
      <c r="C134" s="6" t="s">
        <v>24</v>
      </c>
      <c r="D134" s="6" t="s">
        <v>25</v>
      </c>
      <c r="E134" s="6" t="s">
        <v>26</v>
      </c>
      <c r="F134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105150</v>
      </c>
    </row>
    <row r="135" spans="1:6" x14ac:dyDescent="0.2">
      <c r="A135" s="3">
        <v>134</v>
      </c>
      <c r="B135" s="5"/>
      <c r="C135" s="6"/>
      <c r="D135" s="6"/>
      <c r="E135" s="6"/>
      <c r="F135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0</v>
      </c>
    </row>
    <row r="136" spans="1:6" x14ac:dyDescent="0.2">
      <c r="A136" s="3">
        <v>135</v>
      </c>
      <c r="B136" s="5"/>
      <c r="C136" s="6"/>
      <c r="D136" s="6"/>
      <c r="E136" s="6"/>
      <c r="F136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0</v>
      </c>
    </row>
    <row r="137" spans="1:6" x14ac:dyDescent="0.2">
      <c r="A137" s="3">
        <v>136</v>
      </c>
      <c r="B137" s="5"/>
      <c r="C137" s="6"/>
      <c r="D137" s="6"/>
      <c r="E137" s="6"/>
      <c r="F137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0</v>
      </c>
    </row>
    <row r="138" spans="1:6" x14ac:dyDescent="0.2">
      <c r="A138" s="3">
        <v>137</v>
      </c>
      <c r="B138" s="5"/>
      <c r="C138" s="6"/>
      <c r="D138" s="6"/>
      <c r="E138" s="6"/>
      <c r="F138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0</v>
      </c>
    </row>
    <row r="139" spans="1:6" x14ac:dyDescent="0.2">
      <c r="A139" s="3">
        <v>138</v>
      </c>
      <c r="B139" s="5"/>
      <c r="C139" s="6"/>
      <c r="D139" s="6"/>
      <c r="E139" s="6"/>
      <c r="F139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0</v>
      </c>
    </row>
    <row r="140" spans="1:6" x14ac:dyDescent="0.2">
      <c r="A140" s="3">
        <v>139</v>
      </c>
      <c r="B140" s="5"/>
      <c r="C140" s="6"/>
      <c r="D140" s="6"/>
      <c r="E140" s="6"/>
      <c r="F140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0</v>
      </c>
    </row>
    <row r="141" spans="1:6" x14ac:dyDescent="0.2">
      <c r="A141" s="3">
        <v>140</v>
      </c>
      <c r="B141" s="5"/>
      <c r="C141" s="6"/>
      <c r="D141" s="6"/>
      <c r="E141" s="6"/>
      <c r="F141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0</v>
      </c>
    </row>
    <row r="142" spans="1:6" x14ac:dyDescent="0.2">
      <c r="A142" s="3">
        <v>141</v>
      </c>
      <c r="B142" s="5"/>
      <c r="C142" s="6"/>
      <c r="D142" s="6"/>
      <c r="E142" s="6"/>
      <c r="F142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0</v>
      </c>
    </row>
    <row r="143" spans="1:6" x14ac:dyDescent="0.2">
      <c r="A143" s="3">
        <v>142</v>
      </c>
      <c r="B143" s="5"/>
      <c r="C143" s="6"/>
      <c r="D143" s="6"/>
      <c r="E143" s="6"/>
      <c r="F143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0</v>
      </c>
    </row>
    <row r="144" spans="1:6" x14ac:dyDescent="0.2">
      <c r="A144" s="3">
        <v>143</v>
      </c>
      <c r="B144" s="5"/>
      <c r="C144" s="6"/>
      <c r="D144" s="6"/>
      <c r="E144" s="6"/>
      <c r="F144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0</v>
      </c>
    </row>
    <row r="145" spans="1:6" x14ac:dyDescent="0.2">
      <c r="A145" s="3">
        <v>144</v>
      </c>
      <c r="B145" s="5"/>
      <c r="C145" s="6"/>
      <c r="D145" s="6"/>
      <c r="E145" s="6"/>
      <c r="F145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0</v>
      </c>
    </row>
    <row r="146" spans="1:6" x14ac:dyDescent="0.2">
      <c r="A146" s="3">
        <v>145</v>
      </c>
      <c r="B146" s="5"/>
      <c r="C146" s="6"/>
      <c r="D146" s="6"/>
      <c r="E146" s="6"/>
      <c r="F146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0</v>
      </c>
    </row>
    <row r="147" spans="1:6" x14ac:dyDescent="0.2">
      <c r="A147" s="3">
        <v>146</v>
      </c>
      <c r="B147" s="5"/>
      <c r="C147" s="6"/>
      <c r="D147" s="6"/>
      <c r="E147" s="6"/>
      <c r="F147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0</v>
      </c>
    </row>
    <row r="148" spans="1:6" x14ac:dyDescent="0.2">
      <c r="A148" s="3">
        <v>147</v>
      </c>
      <c r="B148" s="5">
        <v>46046</v>
      </c>
      <c r="C148" s="6" t="s">
        <v>376</v>
      </c>
      <c r="D148" s="6" t="s">
        <v>377</v>
      </c>
      <c r="E148" s="6" t="s">
        <v>378</v>
      </c>
      <c r="F148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7173</v>
      </c>
    </row>
    <row r="149" spans="1:6" x14ac:dyDescent="0.2">
      <c r="A149" s="3">
        <v>148</v>
      </c>
      <c r="B149" s="5">
        <v>46053</v>
      </c>
      <c r="C149" s="6" t="s">
        <v>312</v>
      </c>
      <c r="D149" s="6" t="s">
        <v>313</v>
      </c>
      <c r="E149" s="6" t="s">
        <v>311</v>
      </c>
      <c r="F149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60079</v>
      </c>
    </row>
    <row r="150" spans="1:6" x14ac:dyDescent="0.2">
      <c r="A150" s="3">
        <v>149</v>
      </c>
      <c r="B150" s="5">
        <v>46053</v>
      </c>
      <c r="C150" s="6" t="s">
        <v>379</v>
      </c>
      <c r="D150" s="6" t="s">
        <v>381</v>
      </c>
      <c r="E150" s="6" t="s">
        <v>380</v>
      </c>
      <c r="F150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7021</v>
      </c>
    </row>
    <row r="151" spans="1:6" x14ac:dyDescent="0.2">
      <c r="A151" s="3">
        <v>150</v>
      </c>
      <c r="B151" s="5">
        <v>46053</v>
      </c>
      <c r="C151" s="10" t="s">
        <v>24</v>
      </c>
      <c r="D151" s="10" t="s">
        <v>25</v>
      </c>
      <c r="E151" s="10" t="s">
        <v>26</v>
      </c>
      <c r="F151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8650</v>
      </c>
    </row>
    <row r="152" spans="1:6" x14ac:dyDescent="0.2">
      <c r="A152" s="3">
        <v>151</v>
      </c>
      <c r="B152" s="5">
        <v>46053</v>
      </c>
      <c r="C152" s="10" t="s">
        <v>24</v>
      </c>
      <c r="D152" s="10" t="s">
        <v>25</v>
      </c>
      <c r="E152" s="10" t="s">
        <v>26</v>
      </c>
      <c r="F152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21150</v>
      </c>
    </row>
    <row r="153" spans="1:6" x14ac:dyDescent="0.2">
      <c r="A153" s="3">
        <v>152</v>
      </c>
      <c r="B153" s="5">
        <v>46053</v>
      </c>
      <c r="C153" s="10" t="s">
        <v>24</v>
      </c>
      <c r="D153" s="10" t="s">
        <v>25</v>
      </c>
      <c r="E153" s="10" t="s">
        <v>26</v>
      </c>
      <c r="F153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24150</v>
      </c>
    </row>
    <row r="154" spans="1:6" x14ac:dyDescent="0.2">
      <c r="A154" s="3">
        <v>153</v>
      </c>
      <c r="B154" s="5">
        <v>46053</v>
      </c>
      <c r="C154" s="10" t="s">
        <v>24</v>
      </c>
      <c r="D154" s="10" t="s">
        <v>25</v>
      </c>
      <c r="E154" s="10" t="s">
        <v>26</v>
      </c>
      <c r="F154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55150</v>
      </c>
    </row>
    <row r="155" spans="1:6" x14ac:dyDescent="0.2">
      <c r="A155" s="3">
        <v>154</v>
      </c>
      <c r="B155" s="5">
        <v>46053</v>
      </c>
      <c r="C155" s="10" t="s">
        <v>24</v>
      </c>
      <c r="D155" s="10" t="s">
        <v>25</v>
      </c>
      <c r="E155" s="10" t="s">
        <v>26</v>
      </c>
      <c r="F155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88150</v>
      </c>
    </row>
    <row r="156" spans="1:6" x14ac:dyDescent="0.2">
      <c r="A156" s="3">
        <v>155</v>
      </c>
      <c r="B156" s="5">
        <v>46081</v>
      </c>
      <c r="C156" s="10" t="s">
        <v>24</v>
      </c>
      <c r="D156" s="10" t="s">
        <v>25</v>
      </c>
      <c r="E156" s="10" t="s">
        <v>26</v>
      </c>
      <c r="F156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23150</v>
      </c>
    </row>
    <row r="157" spans="1:6" x14ac:dyDescent="0.2">
      <c r="A157" s="3">
        <v>156</v>
      </c>
      <c r="B157" s="5">
        <v>46081</v>
      </c>
      <c r="C157" s="10" t="s">
        <v>24</v>
      </c>
      <c r="D157" s="10" t="s">
        <v>25</v>
      </c>
      <c r="E157" s="10" t="s">
        <v>26</v>
      </c>
      <c r="F157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99150</v>
      </c>
    </row>
    <row r="158" spans="1:6" x14ac:dyDescent="0.2">
      <c r="A158" s="3">
        <v>157</v>
      </c>
      <c r="B158" s="5">
        <v>46081</v>
      </c>
      <c r="C158" s="10" t="s">
        <v>24</v>
      </c>
      <c r="D158" s="10" t="s">
        <v>25</v>
      </c>
      <c r="E158" s="10" t="s">
        <v>26</v>
      </c>
      <c r="F158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50150</v>
      </c>
    </row>
    <row r="159" spans="1:6" x14ac:dyDescent="0.2">
      <c r="A159" s="3">
        <v>158</v>
      </c>
      <c r="B159" s="5">
        <v>46081</v>
      </c>
      <c r="C159" s="10" t="s">
        <v>24</v>
      </c>
      <c r="D159" s="10" t="s">
        <v>25</v>
      </c>
      <c r="E159" s="10" t="s">
        <v>26</v>
      </c>
      <c r="F159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43150</v>
      </c>
    </row>
    <row r="160" spans="1:6" x14ac:dyDescent="0.2">
      <c r="A160" s="3">
        <v>159</v>
      </c>
      <c r="B160" s="5">
        <v>46081</v>
      </c>
      <c r="C160" s="10" t="s">
        <v>24</v>
      </c>
      <c r="D160" s="10" t="s">
        <v>25</v>
      </c>
      <c r="E160" s="10" t="s">
        <v>26</v>
      </c>
      <c r="F160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124575</v>
      </c>
    </row>
    <row r="161" spans="1:6" x14ac:dyDescent="0.2">
      <c r="A161" s="3">
        <v>160</v>
      </c>
      <c r="B161" s="5"/>
      <c r="C161" s="10"/>
      <c r="D161" s="10"/>
      <c r="E161" s="10"/>
      <c r="F161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0</v>
      </c>
    </row>
    <row r="162" spans="1:6" x14ac:dyDescent="0.2">
      <c r="A162" s="3">
        <v>161</v>
      </c>
      <c r="B162" s="5">
        <v>46081</v>
      </c>
      <c r="C162" s="6" t="s">
        <v>312</v>
      </c>
      <c r="D162" s="6" t="s">
        <v>313</v>
      </c>
      <c r="E162" s="6" t="s">
        <v>311</v>
      </c>
      <c r="F162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115981</v>
      </c>
    </row>
    <row r="163" spans="1:6" x14ac:dyDescent="0.2">
      <c r="A163" s="3">
        <v>162</v>
      </c>
      <c r="B163" s="5">
        <v>46101</v>
      </c>
      <c r="C163" s="10" t="s">
        <v>24</v>
      </c>
      <c r="D163" s="10" t="s">
        <v>25</v>
      </c>
      <c r="E163" s="10" t="s">
        <v>26</v>
      </c>
      <c r="F163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28150</v>
      </c>
    </row>
    <row r="164" spans="1:6" x14ac:dyDescent="0.2">
      <c r="A164" s="3">
        <v>163</v>
      </c>
      <c r="B164" s="5">
        <v>46101</v>
      </c>
      <c r="C164" s="10" t="s">
        <v>24</v>
      </c>
      <c r="D164" s="10" t="s">
        <v>25</v>
      </c>
      <c r="E164" s="10" t="s">
        <v>26</v>
      </c>
      <c r="F164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45150</v>
      </c>
    </row>
    <row r="165" spans="1:6" x14ac:dyDescent="0.2">
      <c r="A165" s="3">
        <v>164</v>
      </c>
      <c r="B165" s="5">
        <v>46101</v>
      </c>
      <c r="C165" s="10" t="s">
        <v>24</v>
      </c>
      <c r="D165" s="10" t="s">
        <v>25</v>
      </c>
      <c r="E165" s="10" t="s">
        <v>26</v>
      </c>
      <c r="F165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30150</v>
      </c>
    </row>
    <row r="166" spans="1:6" x14ac:dyDescent="0.2">
      <c r="A166" s="3">
        <v>165</v>
      </c>
      <c r="B166" s="5">
        <v>46101</v>
      </c>
      <c r="C166" s="10" t="s">
        <v>24</v>
      </c>
      <c r="D166" s="10" t="s">
        <v>25</v>
      </c>
      <c r="E166" s="10" t="s">
        <v>26</v>
      </c>
      <c r="F166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45150</v>
      </c>
    </row>
    <row r="167" spans="1:6" x14ac:dyDescent="0.2">
      <c r="A167" s="3">
        <v>166</v>
      </c>
      <c r="B167" s="5">
        <v>46101</v>
      </c>
      <c r="C167" s="10" t="s">
        <v>24</v>
      </c>
      <c r="D167" s="10" t="s">
        <v>25</v>
      </c>
      <c r="E167" s="10" t="s">
        <v>26</v>
      </c>
      <c r="F167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16150</v>
      </c>
    </row>
    <row r="168" spans="1:6" x14ac:dyDescent="0.2">
      <c r="A168" s="3">
        <v>167</v>
      </c>
      <c r="B168" s="5">
        <v>46112</v>
      </c>
      <c r="C168" s="6" t="s">
        <v>312</v>
      </c>
      <c r="D168" s="6" t="s">
        <v>313</v>
      </c>
      <c r="E168" s="6" t="s">
        <v>311</v>
      </c>
      <c r="F168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109022</v>
      </c>
    </row>
    <row r="169" spans="1:6" x14ac:dyDescent="0.2">
      <c r="A169" s="3">
        <v>168</v>
      </c>
      <c r="B169" s="5">
        <v>46112</v>
      </c>
      <c r="C169" s="6" t="s">
        <v>315</v>
      </c>
      <c r="D169" s="6" t="s">
        <v>316</v>
      </c>
      <c r="E169" s="6" t="s">
        <v>317</v>
      </c>
      <c r="F169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14947</v>
      </c>
    </row>
    <row r="170" spans="1:6" x14ac:dyDescent="0.2">
      <c r="A170" s="3">
        <v>169</v>
      </c>
      <c r="B170" s="5">
        <v>46112</v>
      </c>
      <c r="C170" s="10" t="s">
        <v>24</v>
      </c>
      <c r="D170" s="10" t="s">
        <v>25</v>
      </c>
      <c r="E170" s="10" t="s">
        <v>26</v>
      </c>
      <c r="F170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13150</v>
      </c>
    </row>
    <row r="171" spans="1:6" x14ac:dyDescent="0.2">
      <c r="A171" s="3">
        <v>170</v>
      </c>
      <c r="B171" s="5">
        <v>46112</v>
      </c>
      <c r="C171" s="10" t="s">
        <v>24</v>
      </c>
      <c r="D171" s="10" t="s">
        <v>25</v>
      </c>
      <c r="E171" s="10" t="s">
        <v>26</v>
      </c>
      <c r="F171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13150</v>
      </c>
    </row>
    <row r="172" spans="1:6" x14ac:dyDescent="0.2">
      <c r="A172" s="3">
        <v>171</v>
      </c>
      <c r="B172" s="5">
        <v>46112</v>
      </c>
      <c r="C172" s="10" t="s">
        <v>24</v>
      </c>
      <c r="D172" s="10" t="s">
        <v>25</v>
      </c>
      <c r="E172" s="10" t="s">
        <v>26</v>
      </c>
      <c r="F172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98150</v>
      </c>
    </row>
    <row r="173" spans="1:6" x14ac:dyDescent="0.2">
      <c r="A173" s="3">
        <v>172</v>
      </c>
      <c r="B173" s="5">
        <v>46112</v>
      </c>
      <c r="C173" s="10" t="s">
        <v>24</v>
      </c>
      <c r="D173" s="10" t="s">
        <v>25</v>
      </c>
      <c r="E173" s="10" t="s">
        <v>26</v>
      </c>
      <c r="F173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27150</v>
      </c>
    </row>
    <row r="174" spans="1:6" x14ac:dyDescent="0.2">
      <c r="A174" s="3">
        <v>173</v>
      </c>
      <c r="B174" s="5">
        <v>46112</v>
      </c>
      <c r="C174" s="10" t="s">
        <v>24</v>
      </c>
      <c r="D174" s="10" t="s">
        <v>25</v>
      </c>
      <c r="E174" s="10" t="s">
        <v>26</v>
      </c>
      <c r="F174" s="7">
        <f>SUMIF(OrderDetails[Bill No],BillDetails[[#This Row],[Bill No]],OrderDetails[Amount])+SUMIF(OrderDetails[Bill No],BillDetails[[#This Row],[Bill No]],OrderDetails[Extra Charges])+ SUMIF(OrderDetails[Bill No],BillDetails[[#This Row],[Bill No]],OrderDetails[GR Charge])</f>
        <v>11150</v>
      </c>
    </row>
  </sheetData>
  <sortState xmlns:xlrd2="http://schemas.microsoft.com/office/spreadsheetml/2017/richdata2" ref="A1:F1">
    <sortCondition ref="B2"/>
    <sortCondition ref="A2"/>
  </sortState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0E07-2856-D645-839C-EC8F9A337070}">
  <sheetPr codeName="Sheet2"/>
  <dimension ref="A1:M428"/>
  <sheetViews>
    <sheetView topLeftCell="A394" zoomScale="106" zoomScaleNormal="160" workbookViewId="0">
      <selection activeCell="A400" sqref="A400:J428"/>
    </sheetView>
  </sheetViews>
  <sheetFormatPr baseColWidth="10" defaultRowHeight="16" x14ac:dyDescent="0.2"/>
  <cols>
    <col min="1" max="1" width="9" style="3" bestFit="1" customWidth="1"/>
    <col min="2" max="2" width="8.83203125" style="3" bestFit="1" customWidth="1"/>
    <col min="3" max="3" width="11.6640625" style="1" customWidth="1"/>
    <col min="4" max="4" width="13.83203125" bestFit="1" customWidth="1"/>
    <col min="5" max="5" width="24.1640625" bestFit="1" customWidth="1"/>
    <col min="6" max="6" width="21" bestFit="1" customWidth="1"/>
    <col min="7" max="7" width="22.1640625" bestFit="1" customWidth="1"/>
    <col min="8" max="8" width="11" bestFit="1" customWidth="1"/>
    <col min="9" max="9" width="10.1640625" bestFit="1" customWidth="1"/>
    <col min="10" max="10" width="14.6640625" style="4" customWidth="1"/>
    <col min="11" max="11" width="32.1640625" bestFit="1" customWidth="1"/>
    <col min="12" max="12" width="15.1640625" style="4" bestFit="1" customWidth="1"/>
    <col min="13" max="13" width="12.5" style="4" bestFit="1" customWidth="1"/>
  </cols>
  <sheetData>
    <row r="1" spans="1:13" x14ac:dyDescent="0.2">
      <c r="A1" s="3" t="s">
        <v>0</v>
      </c>
      <c r="B1" s="3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t="s">
        <v>10</v>
      </c>
      <c r="L1" s="4" t="s">
        <v>11</v>
      </c>
      <c r="M1" s="4" t="s">
        <v>12</v>
      </c>
    </row>
    <row r="2" spans="1:13" x14ac:dyDescent="0.2">
      <c r="A2" s="3">
        <v>1</v>
      </c>
      <c r="B2" s="3">
        <v>1</v>
      </c>
      <c r="C2" s="1">
        <v>45726</v>
      </c>
      <c r="D2" t="s">
        <v>114</v>
      </c>
      <c r="E2" t="s">
        <v>41</v>
      </c>
      <c r="F2" t="s">
        <v>116</v>
      </c>
      <c r="G2" t="s">
        <v>115</v>
      </c>
      <c r="H2" t="s">
        <v>21</v>
      </c>
      <c r="I2" t="s">
        <v>22</v>
      </c>
      <c r="J2" s="4">
        <v>9000</v>
      </c>
    </row>
    <row r="3" spans="1:13" x14ac:dyDescent="0.2">
      <c r="A3" s="3">
        <v>1</v>
      </c>
      <c r="M3" s="4">
        <v>150</v>
      </c>
    </row>
    <row r="4" spans="1:13" x14ac:dyDescent="0.2">
      <c r="A4" s="3">
        <v>2</v>
      </c>
      <c r="B4" s="3">
        <v>5</v>
      </c>
      <c r="C4" s="1">
        <v>45735</v>
      </c>
      <c r="D4" t="s">
        <v>117</v>
      </c>
      <c r="E4" t="s">
        <v>28</v>
      </c>
      <c r="F4" t="s">
        <v>29</v>
      </c>
      <c r="G4" t="s">
        <v>118</v>
      </c>
      <c r="H4" t="s">
        <v>21</v>
      </c>
      <c r="I4" t="s">
        <v>22</v>
      </c>
      <c r="J4" s="4">
        <v>21000</v>
      </c>
    </row>
    <row r="5" spans="1:13" x14ac:dyDescent="0.2">
      <c r="A5" s="3">
        <v>2</v>
      </c>
      <c r="B5" s="3">
        <v>4</v>
      </c>
      <c r="C5" s="1">
        <v>45736</v>
      </c>
      <c r="D5" t="s">
        <v>117</v>
      </c>
      <c r="E5" t="s">
        <v>28</v>
      </c>
      <c r="F5" t="s">
        <v>29</v>
      </c>
      <c r="G5" t="s">
        <v>119</v>
      </c>
      <c r="H5" t="s">
        <v>21</v>
      </c>
      <c r="I5" t="s">
        <v>22</v>
      </c>
    </row>
    <row r="6" spans="1:13" x14ac:dyDescent="0.2">
      <c r="A6" s="3">
        <v>2</v>
      </c>
      <c r="K6" t="s">
        <v>120</v>
      </c>
      <c r="L6" s="4">
        <v>1500</v>
      </c>
    </row>
    <row r="7" spans="1:13" x14ac:dyDescent="0.2">
      <c r="A7" s="3">
        <v>2</v>
      </c>
      <c r="M7" s="4">
        <v>150</v>
      </c>
    </row>
    <row r="8" spans="1:13" x14ac:dyDescent="0.2">
      <c r="A8" s="3">
        <v>3</v>
      </c>
      <c r="B8" s="3">
        <v>2</v>
      </c>
      <c r="C8" s="1">
        <v>45741</v>
      </c>
      <c r="D8" t="s">
        <v>121</v>
      </c>
      <c r="E8" t="s">
        <v>41</v>
      </c>
      <c r="F8" t="s">
        <v>122</v>
      </c>
      <c r="G8" t="s">
        <v>77</v>
      </c>
      <c r="H8" t="s">
        <v>21</v>
      </c>
      <c r="I8" t="s">
        <v>22</v>
      </c>
      <c r="J8" s="4">
        <v>27500</v>
      </c>
    </row>
    <row r="9" spans="1:13" x14ac:dyDescent="0.2">
      <c r="A9" s="3">
        <v>3</v>
      </c>
      <c r="K9" t="s">
        <v>120</v>
      </c>
      <c r="L9" s="4">
        <v>1500</v>
      </c>
    </row>
    <row r="10" spans="1:13" x14ac:dyDescent="0.2">
      <c r="A10" s="3">
        <v>3</v>
      </c>
      <c r="M10" s="4">
        <v>150</v>
      </c>
    </row>
    <row r="11" spans="1:13" x14ac:dyDescent="0.2">
      <c r="A11" s="3">
        <v>4</v>
      </c>
      <c r="B11" s="3">
        <v>6</v>
      </c>
      <c r="C11" s="1">
        <v>45741</v>
      </c>
      <c r="D11" t="s">
        <v>123</v>
      </c>
      <c r="E11" t="s">
        <v>124</v>
      </c>
      <c r="F11" t="s">
        <v>28</v>
      </c>
      <c r="G11" t="s">
        <v>30</v>
      </c>
      <c r="H11" t="s">
        <v>21</v>
      </c>
      <c r="I11" t="s">
        <v>22</v>
      </c>
      <c r="J11" s="4">
        <v>14500</v>
      </c>
    </row>
    <row r="12" spans="1:13" x14ac:dyDescent="0.2">
      <c r="A12" s="3">
        <v>4</v>
      </c>
    </row>
    <row r="13" spans="1:13" x14ac:dyDescent="0.2">
      <c r="A13" s="3">
        <v>5</v>
      </c>
      <c r="B13" s="3">
        <v>7</v>
      </c>
      <c r="C13" s="1">
        <v>45741</v>
      </c>
      <c r="D13" t="s">
        <v>125</v>
      </c>
      <c r="E13" t="s">
        <v>99</v>
      </c>
      <c r="F13" t="s">
        <v>126</v>
      </c>
      <c r="G13" t="s">
        <v>30</v>
      </c>
      <c r="H13" t="s">
        <v>21</v>
      </c>
      <c r="I13" t="s">
        <v>22</v>
      </c>
      <c r="J13" s="4">
        <v>40000</v>
      </c>
      <c r="M13" s="4">
        <v>150</v>
      </c>
    </row>
    <row r="14" spans="1:13" x14ac:dyDescent="0.2">
      <c r="A14" s="3">
        <v>5</v>
      </c>
      <c r="K14" t="s">
        <v>127</v>
      </c>
      <c r="L14" s="4">
        <v>1500</v>
      </c>
    </row>
    <row r="15" spans="1:13" x14ac:dyDescent="0.2">
      <c r="A15" s="3">
        <v>5</v>
      </c>
      <c r="K15" t="s">
        <v>120</v>
      </c>
      <c r="L15" s="4">
        <v>2000</v>
      </c>
    </row>
    <row r="16" spans="1:13" x14ac:dyDescent="0.2">
      <c r="A16" s="3">
        <v>5</v>
      </c>
      <c r="M16" s="4">
        <v>150</v>
      </c>
    </row>
    <row r="17" spans="1:13" x14ac:dyDescent="0.2">
      <c r="A17" s="3">
        <v>6</v>
      </c>
      <c r="B17" s="3">
        <v>8</v>
      </c>
      <c r="C17" s="1">
        <v>45741</v>
      </c>
      <c r="D17" t="s">
        <v>128</v>
      </c>
      <c r="E17" t="s">
        <v>129</v>
      </c>
      <c r="F17" t="s">
        <v>28</v>
      </c>
      <c r="G17" t="s">
        <v>130</v>
      </c>
      <c r="H17" t="s">
        <v>21</v>
      </c>
      <c r="I17" t="s">
        <v>22</v>
      </c>
      <c r="J17" s="4">
        <v>60000</v>
      </c>
    </row>
    <row r="18" spans="1:13" x14ac:dyDescent="0.2">
      <c r="A18" s="3">
        <v>6</v>
      </c>
      <c r="M18" s="4">
        <v>150</v>
      </c>
    </row>
    <row r="19" spans="1:13" x14ac:dyDescent="0.2">
      <c r="A19" s="3">
        <v>7</v>
      </c>
      <c r="B19" s="3">
        <v>9</v>
      </c>
      <c r="C19" s="1">
        <v>45749</v>
      </c>
      <c r="D19" t="s">
        <v>131</v>
      </c>
      <c r="E19" t="s">
        <v>28</v>
      </c>
      <c r="F19" t="s">
        <v>29</v>
      </c>
      <c r="G19" t="s">
        <v>132</v>
      </c>
      <c r="H19" t="s">
        <v>21</v>
      </c>
      <c r="I19" t="s">
        <v>22</v>
      </c>
      <c r="J19" s="4">
        <v>32000</v>
      </c>
    </row>
    <row r="20" spans="1:13" x14ac:dyDescent="0.2">
      <c r="A20" s="3">
        <v>7</v>
      </c>
      <c r="K20" t="s">
        <v>133</v>
      </c>
      <c r="L20" s="4">
        <v>2000</v>
      </c>
    </row>
    <row r="21" spans="1:13" x14ac:dyDescent="0.2">
      <c r="A21" s="3">
        <v>7</v>
      </c>
      <c r="M21" s="4">
        <v>150</v>
      </c>
    </row>
    <row r="22" spans="1:13" x14ac:dyDescent="0.2">
      <c r="A22" s="3">
        <v>8</v>
      </c>
      <c r="B22" s="3">
        <v>10</v>
      </c>
      <c r="C22" s="1">
        <v>45757</v>
      </c>
      <c r="D22" t="s">
        <v>134</v>
      </c>
      <c r="E22" t="s">
        <v>135</v>
      </c>
      <c r="F22" t="s">
        <v>28</v>
      </c>
      <c r="G22" t="s">
        <v>136</v>
      </c>
      <c r="H22" t="s">
        <v>21</v>
      </c>
      <c r="I22" t="s">
        <v>22</v>
      </c>
      <c r="J22" s="4">
        <v>13000</v>
      </c>
    </row>
    <row r="23" spans="1:13" x14ac:dyDescent="0.2">
      <c r="A23" s="3">
        <v>8</v>
      </c>
      <c r="B23" s="3">
        <v>11</v>
      </c>
      <c r="C23" s="1">
        <v>45757</v>
      </c>
      <c r="D23" t="s">
        <v>134</v>
      </c>
      <c r="E23" t="s">
        <v>135</v>
      </c>
      <c r="F23" t="s">
        <v>28</v>
      </c>
      <c r="G23" t="s">
        <v>136</v>
      </c>
      <c r="H23" t="s">
        <v>21</v>
      </c>
      <c r="I23" t="s">
        <v>22</v>
      </c>
    </row>
    <row r="24" spans="1:13" x14ac:dyDescent="0.2">
      <c r="A24" s="3">
        <v>8</v>
      </c>
      <c r="K24" t="s">
        <v>133</v>
      </c>
      <c r="L24" s="4">
        <v>3000</v>
      </c>
    </row>
    <row r="25" spans="1:13" x14ac:dyDescent="0.2">
      <c r="A25" s="3">
        <v>8</v>
      </c>
      <c r="M25" s="4">
        <v>150</v>
      </c>
    </row>
    <row r="26" spans="1:13" x14ac:dyDescent="0.2">
      <c r="A26" s="3">
        <v>9</v>
      </c>
      <c r="B26" s="3">
        <v>21</v>
      </c>
      <c r="C26" s="1">
        <v>45757</v>
      </c>
      <c r="D26" t="s">
        <v>137</v>
      </c>
      <c r="E26" t="s">
        <v>41</v>
      </c>
      <c r="F26" t="s">
        <v>138</v>
      </c>
      <c r="G26" t="s">
        <v>39</v>
      </c>
      <c r="H26" t="s">
        <v>21</v>
      </c>
      <c r="I26" t="s">
        <v>22</v>
      </c>
      <c r="J26" s="4">
        <v>72000</v>
      </c>
    </row>
    <row r="27" spans="1:13" x14ac:dyDescent="0.2">
      <c r="A27" s="3">
        <v>9</v>
      </c>
      <c r="M27" s="4">
        <v>150</v>
      </c>
    </row>
    <row r="28" spans="1:13" x14ac:dyDescent="0.2">
      <c r="A28" s="3">
        <v>10</v>
      </c>
      <c r="B28" s="3">
        <v>22</v>
      </c>
      <c r="C28" s="1">
        <v>45758</v>
      </c>
      <c r="D28" t="s">
        <v>139</v>
      </c>
      <c r="E28" t="s">
        <v>140</v>
      </c>
      <c r="F28" t="s">
        <v>41</v>
      </c>
      <c r="G28" t="s">
        <v>136</v>
      </c>
      <c r="H28" t="s">
        <v>21</v>
      </c>
      <c r="I28" t="s">
        <v>22</v>
      </c>
      <c r="J28" s="4">
        <v>15000</v>
      </c>
    </row>
    <row r="29" spans="1:13" x14ac:dyDescent="0.2">
      <c r="A29" s="3">
        <v>10</v>
      </c>
      <c r="M29" s="4">
        <v>150</v>
      </c>
    </row>
    <row r="30" spans="1:13" x14ac:dyDescent="0.2">
      <c r="A30" s="3">
        <v>11</v>
      </c>
      <c r="B30" s="3">
        <v>23</v>
      </c>
      <c r="C30" s="1">
        <v>45759</v>
      </c>
      <c r="D30" t="s">
        <v>141</v>
      </c>
      <c r="E30" t="s">
        <v>142</v>
      </c>
      <c r="F30" t="s">
        <v>143</v>
      </c>
      <c r="G30" t="s">
        <v>144</v>
      </c>
      <c r="H30" t="s">
        <v>21</v>
      </c>
      <c r="I30" t="s">
        <v>22</v>
      </c>
      <c r="J30" s="4">
        <v>29000</v>
      </c>
    </row>
    <row r="31" spans="1:13" x14ac:dyDescent="0.2">
      <c r="A31" s="3">
        <v>11</v>
      </c>
      <c r="B31" s="3">
        <v>24</v>
      </c>
      <c r="C31" s="1">
        <v>45759</v>
      </c>
      <c r="D31" t="s">
        <v>141</v>
      </c>
      <c r="E31" t="s">
        <v>142</v>
      </c>
      <c r="F31" t="s">
        <v>143</v>
      </c>
      <c r="G31" t="s">
        <v>144</v>
      </c>
      <c r="H31" t="s">
        <v>21</v>
      </c>
      <c r="I31" t="s">
        <v>22</v>
      </c>
    </row>
    <row r="32" spans="1:13" x14ac:dyDescent="0.2">
      <c r="A32" s="3">
        <v>12</v>
      </c>
      <c r="B32" s="3">
        <v>25</v>
      </c>
      <c r="C32" s="1">
        <v>45761</v>
      </c>
      <c r="D32" t="s">
        <v>145</v>
      </c>
      <c r="E32" t="s">
        <v>28</v>
      </c>
      <c r="F32" t="s">
        <v>146</v>
      </c>
      <c r="G32" t="s">
        <v>147</v>
      </c>
      <c r="H32" t="s">
        <v>21</v>
      </c>
      <c r="I32" t="s">
        <v>22</v>
      </c>
      <c r="J32" s="4">
        <v>48000</v>
      </c>
    </row>
    <row r="33" spans="1:13" x14ac:dyDescent="0.2">
      <c r="A33" s="3">
        <v>12</v>
      </c>
      <c r="K33" t="s">
        <v>120</v>
      </c>
      <c r="L33" s="4">
        <v>1500</v>
      </c>
    </row>
    <row r="34" spans="1:13" x14ac:dyDescent="0.2">
      <c r="A34" s="3">
        <v>12</v>
      </c>
      <c r="M34" s="4">
        <v>150</v>
      </c>
    </row>
    <row r="35" spans="1:13" x14ac:dyDescent="0.2">
      <c r="A35" s="3">
        <v>13</v>
      </c>
      <c r="B35" s="3">
        <v>12</v>
      </c>
      <c r="C35" s="1">
        <v>45761</v>
      </c>
      <c r="D35" t="s">
        <v>148</v>
      </c>
      <c r="E35" t="s">
        <v>41</v>
      </c>
      <c r="F35" t="s">
        <v>102</v>
      </c>
      <c r="G35" t="s">
        <v>149</v>
      </c>
      <c r="H35" t="s">
        <v>21</v>
      </c>
      <c r="I35" t="s">
        <v>22</v>
      </c>
      <c r="J35" s="4">
        <v>13000</v>
      </c>
    </row>
    <row r="36" spans="1:13" x14ac:dyDescent="0.2">
      <c r="A36" s="3">
        <v>13</v>
      </c>
      <c r="M36" s="4">
        <v>150</v>
      </c>
    </row>
    <row r="37" spans="1:13" x14ac:dyDescent="0.2">
      <c r="A37" s="3">
        <v>14</v>
      </c>
      <c r="B37" s="3">
        <v>26</v>
      </c>
      <c r="C37" s="1">
        <v>45764</v>
      </c>
      <c r="D37" t="s">
        <v>150</v>
      </c>
      <c r="E37" t="s">
        <v>79</v>
      </c>
      <c r="F37" t="s">
        <v>151</v>
      </c>
      <c r="G37" t="s">
        <v>30</v>
      </c>
      <c r="H37" t="s">
        <v>21</v>
      </c>
      <c r="I37" t="s">
        <v>22</v>
      </c>
      <c r="J37" s="4">
        <v>26500</v>
      </c>
    </row>
    <row r="38" spans="1:13" x14ac:dyDescent="0.2">
      <c r="A38" s="3">
        <v>14</v>
      </c>
      <c r="M38" s="4">
        <v>150</v>
      </c>
    </row>
    <row r="39" spans="1:13" x14ac:dyDescent="0.2">
      <c r="A39" s="3">
        <v>15</v>
      </c>
      <c r="B39" s="3">
        <v>27</v>
      </c>
      <c r="C39" s="1">
        <v>45766</v>
      </c>
      <c r="D39" t="s">
        <v>152</v>
      </c>
      <c r="E39" t="s">
        <v>28</v>
      </c>
      <c r="F39" t="s">
        <v>153</v>
      </c>
      <c r="G39" t="s">
        <v>39</v>
      </c>
      <c r="H39" t="s">
        <v>21</v>
      </c>
      <c r="I39" t="s">
        <v>22</v>
      </c>
      <c r="J39" s="4">
        <v>16500</v>
      </c>
    </row>
    <row r="40" spans="1:13" x14ac:dyDescent="0.2">
      <c r="A40" s="3">
        <v>15</v>
      </c>
      <c r="M40" s="4">
        <v>150</v>
      </c>
    </row>
    <row r="41" spans="1:13" x14ac:dyDescent="0.2">
      <c r="A41" s="3">
        <v>16</v>
      </c>
      <c r="B41" s="3">
        <v>28</v>
      </c>
      <c r="C41" s="1">
        <v>45768</v>
      </c>
      <c r="D41" t="s">
        <v>154</v>
      </c>
      <c r="E41" t="s">
        <v>79</v>
      </c>
      <c r="F41" t="s">
        <v>155</v>
      </c>
      <c r="G41" t="s">
        <v>30</v>
      </c>
      <c r="H41" t="s">
        <v>21</v>
      </c>
      <c r="I41" t="s">
        <v>22</v>
      </c>
      <c r="J41" s="4">
        <v>84000</v>
      </c>
    </row>
    <row r="42" spans="1:13" x14ac:dyDescent="0.2">
      <c r="A42" s="3">
        <v>16</v>
      </c>
      <c r="B42" s="3">
        <v>29</v>
      </c>
      <c r="C42" s="1">
        <v>45768</v>
      </c>
      <c r="D42" t="s">
        <v>154</v>
      </c>
      <c r="E42" t="s">
        <v>79</v>
      </c>
      <c r="F42" t="s">
        <v>155</v>
      </c>
      <c r="G42" t="s">
        <v>30</v>
      </c>
      <c r="H42" t="s">
        <v>21</v>
      </c>
      <c r="I42" t="s">
        <v>22</v>
      </c>
    </row>
    <row r="43" spans="1:13" x14ac:dyDescent="0.2">
      <c r="A43" s="3">
        <v>16</v>
      </c>
      <c r="M43" s="4">
        <v>150</v>
      </c>
    </row>
    <row r="44" spans="1:13" x14ac:dyDescent="0.2">
      <c r="A44" s="3">
        <v>17</v>
      </c>
      <c r="B44" s="3">
        <v>30</v>
      </c>
      <c r="C44" s="1">
        <v>45770</v>
      </c>
      <c r="D44" t="s">
        <v>156</v>
      </c>
      <c r="E44" t="s">
        <v>83</v>
      </c>
      <c r="F44" t="s">
        <v>126</v>
      </c>
      <c r="G44" t="s">
        <v>30</v>
      </c>
      <c r="H44" t="s">
        <v>21</v>
      </c>
      <c r="I44" t="s">
        <v>22</v>
      </c>
      <c r="J44" s="4">
        <v>27000</v>
      </c>
    </row>
    <row r="45" spans="1:13" x14ac:dyDescent="0.2">
      <c r="A45" s="3">
        <v>17</v>
      </c>
      <c r="M45" s="4">
        <v>150</v>
      </c>
    </row>
    <row r="46" spans="1:13" x14ac:dyDescent="0.2">
      <c r="A46" s="3">
        <v>18</v>
      </c>
      <c r="B46" s="3">
        <v>31</v>
      </c>
      <c r="C46" s="1">
        <v>45771</v>
      </c>
      <c r="D46" t="s">
        <v>157</v>
      </c>
      <c r="E46" t="s">
        <v>158</v>
      </c>
      <c r="F46" t="s">
        <v>38</v>
      </c>
      <c r="G46" t="s">
        <v>119</v>
      </c>
      <c r="H46" t="s">
        <v>21</v>
      </c>
      <c r="I46" t="s">
        <v>22</v>
      </c>
      <c r="J46" s="4">
        <v>35000</v>
      </c>
    </row>
    <row r="47" spans="1:13" x14ac:dyDescent="0.2">
      <c r="A47" s="3">
        <v>18</v>
      </c>
      <c r="M47" s="4">
        <v>150</v>
      </c>
    </row>
    <row r="48" spans="1:13" x14ac:dyDescent="0.2">
      <c r="A48" s="3">
        <v>19</v>
      </c>
      <c r="B48" s="3">
        <v>32</v>
      </c>
      <c r="C48" s="1">
        <v>45771</v>
      </c>
      <c r="D48" t="s">
        <v>159</v>
      </c>
      <c r="E48" t="s">
        <v>160</v>
      </c>
      <c r="F48" t="s">
        <v>41</v>
      </c>
      <c r="G48" t="s">
        <v>136</v>
      </c>
      <c r="H48" t="s">
        <v>21</v>
      </c>
      <c r="I48" t="s">
        <v>22</v>
      </c>
      <c r="J48" s="4">
        <v>91000</v>
      </c>
    </row>
    <row r="49" spans="1:13" x14ac:dyDescent="0.2">
      <c r="A49" s="3">
        <v>19</v>
      </c>
      <c r="M49" s="4">
        <v>150</v>
      </c>
    </row>
    <row r="50" spans="1:13" x14ac:dyDescent="0.2">
      <c r="A50" s="3">
        <v>20</v>
      </c>
      <c r="B50" s="3">
        <v>33</v>
      </c>
      <c r="C50" s="1">
        <v>45773</v>
      </c>
      <c r="D50" t="s">
        <v>161</v>
      </c>
      <c r="E50" t="s">
        <v>41</v>
      </c>
      <c r="F50" t="s">
        <v>162</v>
      </c>
      <c r="G50" t="s">
        <v>39</v>
      </c>
      <c r="H50" t="s">
        <v>21</v>
      </c>
      <c r="I50" t="s">
        <v>22</v>
      </c>
      <c r="J50" s="4">
        <v>36000</v>
      </c>
    </row>
    <row r="51" spans="1:13" x14ac:dyDescent="0.2">
      <c r="A51" s="3">
        <v>20</v>
      </c>
      <c r="M51" s="4">
        <v>150</v>
      </c>
    </row>
    <row r="52" spans="1:13" x14ac:dyDescent="0.2">
      <c r="A52" s="3">
        <v>21</v>
      </c>
      <c r="B52" s="3">
        <v>34</v>
      </c>
      <c r="C52" s="1">
        <v>45773</v>
      </c>
      <c r="D52" t="s">
        <v>163</v>
      </c>
      <c r="E52" t="s">
        <v>164</v>
      </c>
      <c r="F52" t="s">
        <v>99</v>
      </c>
      <c r="G52" t="s">
        <v>39</v>
      </c>
      <c r="H52" t="s">
        <v>21</v>
      </c>
      <c r="I52" t="s">
        <v>22</v>
      </c>
      <c r="J52" s="4">
        <v>33000</v>
      </c>
    </row>
    <row r="53" spans="1:13" x14ac:dyDescent="0.2">
      <c r="A53" s="3">
        <v>21</v>
      </c>
      <c r="M53" s="4">
        <v>150</v>
      </c>
    </row>
    <row r="54" spans="1:13" x14ac:dyDescent="0.2">
      <c r="A54" s="3">
        <v>22</v>
      </c>
      <c r="B54" s="3">
        <v>35</v>
      </c>
      <c r="C54" s="1">
        <v>45773</v>
      </c>
      <c r="D54" t="s">
        <v>165</v>
      </c>
      <c r="E54" t="s">
        <v>28</v>
      </c>
      <c r="F54" t="s">
        <v>166</v>
      </c>
      <c r="G54" t="s">
        <v>39</v>
      </c>
      <c r="H54" t="s">
        <v>21</v>
      </c>
      <c r="I54" t="s">
        <v>22</v>
      </c>
      <c r="J54" s="4">
        <v>32000</v>
      </c>
    </row>
    <row r="55" spans="1:13" x14ac:dyDescent="0.2">
      <c r="A55" s="3">
        <v>22</v>
      </c>
      <c r="B55" s="3">
        <v>36</v>
      </c>
      <c r="C55" s="1">
        <v>45773</v>
      </c>
      <c r="D55" t="s">
        <v>165</v>
      </c>
      <c r="E55" t="s">
        <v>28</v>
      </c>
      <c r="F55" t="s">
        <v>166</v>
      </c>
      <c r="G55" t="s">
        <v>39</v>
      </c>
      <c r="H55" t="s">
        <v>21</v>
      </c>
      <c r="I55" t="s">
        <v>22</v>
      </c>
    </row>
    <row r="56" spans="1:13" x14ac:dyDescent="0.2">
      <c r="A56" s="3">
        <v>22</v>
      </c>
      <c r="M56" s="4">
        <v>150</v>
      </c>
    </row>
    <row r="57" spans="1:13" x14ac:dyDescent="0.2">
      <c r="A57" s="3">
        <v>23</v>
      </c>
      <c r="B57" s="3">
        <v>39</v>
      </c>
      <c r="C57" s="1">
        <v>45779</v>
      </c>
      <c r="D57" t="s">
        <v>167</v>
      </c>
      <c r="E57" t="s">
        <v>168</v>
      </c>
      <c r="F57" t="s">
        <v>169</v>
      </c>
      <c r="G57" t="s">
        <v>170</v>
      </c>
      <c r="H57" t="s">
        <v>21</v>
      </c>
      <c r="I57" t="s">
        <v>22</v>
      </c>
      <c r="J57" s="4">
        <v>56860</v>
      </c>
    </row>
    <row r="58" spans="1:13" x14ac:dyDescent="0.2">
      <c r="A58" s="3">
        <v>23</v>
      </c>
      <c r="M58" s="4">
        <v>150</v>
      </c>
    </row>
    <row r="59" spans="1:13" x14ac:dyDescent="0.2">
      <c r="A59" s="3">
        <v>24</v>
      </c>
      <c r="B59" s="3">
        <v>40</v>
      </c>
      <c r="C59" s="1">
        <v>45779</v>
      </c>
      <c r="D59" t="s">
        <v>167</v>
      </c>
      <c r="E59" t="s">
        <v>168</v>
      </c>
      <c r="F59" t="s">
        <v>169</v>
      </c>
      <c r="G59" t="s">
        <v>170</v>
      </c>
      <c r="H59" t="s">
        <v>21</v>
      </c>
      <c r="I59" t="s">
        <v>22</v>
      </c>
      <c r="J59" s="4">
        <v>33140</v>
      </c>
    </row>
    <row r="60" spans="1:13" x14ac:dyDescent="0.2">
      <c r="A60" s="3">
        <v>24</v>
      </c>
      <c r="M60" s="4">
        <v>150</v>
      </c>
    </row>
    <row r="61" spans="1:13" x14ac:dyDescent="0.2">
      <c r="A61" s="3">
        <v>25</v>
      </c>
      <c r="B61" s="3">
        <v>41</v>
      </c>
      <c r="C61" s="1">
        <v>45780</v>
      </c>
      <c r="D61" t="s">
        <v>18</v>
      </c>
      <c r="E61" t="s">
        <v>19</v>
      </c>
      <c r="F61" t="s">
        <v>20</v>
      </c>
      <c r="G61" t="s">
        <v>23</v>
      </c>
      <c r="H61" t="s">
        <v>21</v>
      </c>
      <c r="I61" t="s">
        <v>22</v>
      </c>
      <c r="J61" s="4">
        <v>48000</v>
      </c>
    </row>
    <row r="62" spans="1:13" x14ac:dyDescent="0.2">
      <c r="A62" s="3">
        <v>25</v>
      </c>
      <c r="B62" s="3">
        <v>42</v>
      </c>
      <c r="C62" s="1">
        <v>45780</v>
      </c>
      <c r="D62" t="s">
        <v>18</v>
      </c>
      <c r="E62" t="s">
        <v>19</v>
      </c>
      <c r="F62" t="s">
        <v>20</v>
      </c>
      <c r="G62" t="s">
        <v>23</v>
      </c>
      <c r="H62" t="s">
        <v>21</v>
      </c>
      <c r="I62" t="s">
        <v>22</v>
      </c>
    </row>
    <row r="63" spans="1:13" x14ac:dyDescent="0.2">
      <c r="A63" s="3">
        <v>25</v>
      </c>
      <c r="M63" s="4">
        <v>150</v>
      </c>
    </row>
    <row r="64" spans="1:13" x14ac:dyDescent="0.2">
      <c r="A64" s="3">
        <v>26</v>
      </c>
      <c r="B64" s="3">
        <v>43</v>
      </c>
      <c r="C64" s="1">
        <v>45780</v>
      </c>
      <c r="D64" t="s">
        <v>27</v>
      </c>
      <c r="E64" t="s">
        <v>28</v>
      </c>
      <c r="F64" t="s">
        <v>29</v>
      </c>
      <c r="G64" t="s">
        <v>30</v>
      </c>
      <c r="H64" t="s">
        <v>21</v>
      </c>
      <c r="I64" t="s">
        <v>22</v>
      </c>
      <c r="J64" s="4">
        <v>16000</v>
      </c>
    </row>
    <row r="65" spans="1:13" x14ac:dyDescent="0.2">
      <c r="A65" s="3">
        <v>26</v>
      </c>
      <c r="M65" s="4">
        <v>150</v>
      </c>
    </row>
    <row r="66" spans="1:13" x14ac:dyDescent="0.2">
      <c r="A66" s="3">
        <v>27</v>
      </c>
      <c r="B66" s="3">
        <v>44</v>
      </c>
      <c r="C66" s="1">
        <v>45783</v>
      </c>
      <c r="D66" t="s">
        <v>37</v>
      </c>
      <c r="E66" t="s">
        <v>28</v>
      </c>
      <c r="F66" t="s">
        <v>38</v>
      </c>
      <c r="G66" t="s">
        <v>39</v>
      </c>
      <c r="H66" t="s">
        <v>21</v>
      </c>
      <c r="I66" t="s">
        <v>22</v>
      </c>
      <c r="J66" s="4">
        <v>11000</v>
      </c>
    </row>
    <row r="67" spans="1:13" x14ac:dyDescent="0.2">
      <c r="A67" s="3">
        <v>27</v>
      </c>
      <c r="M67" s="4">
        <v>150</v>
      </c>
    </row>
    <row r="68" spans="1:13" x14ac:dyDescent="0.2">
      <c r="A68" s="3">
        <v>28</v>
      </c>
      <c r="B68" s="3">
        <v>45</v>
      </c>
      <c r="C68" s="1">
        <v>45783</v>
      </c>
      <c r="D68" t="s">
        <v>40</v>
      </c>
      <c r="E68" t="s">
        <v>28</v>
      </c>
      <c r="F68" t="s">
        <v>41</v>
      </c>
      <c r="G68" t="s">
        <v>30</v>
      </c>
      <c r="H68" t="s">
        <v>21</v>
      </c>
      <c r="I68" t="s">
        <v>22</v>
      </c>
      <c r="J68" s="4">
        <v>18500</v>
      </c>
    </row>
    <row r="69" spans="1:13" x14ac:dyDescent="0.2">
      <c r="A69" s="3">
        <v>28</v>
      </c>
      <c r="M69" s="4">
        <v>150</v>
      </c>
    </row>
    <row r="70" spans="1:13" x14ac:dyDescent="0.2">
      <c r="A70" s="3">
        <v>29</v>
      </c>
      <c r="B70" s="3">
        <v>46</v>
      </c>
      <c r="C70" s="1">
        <v>45784</v>
      </c>
      <c r="D70" t="s">
        <v>71</v>
      </c>
      <c r="E70" t="s">
        <v>28</v>
      </c>
      <c r="F70" t="s">
        <v>72</v>
      </c>
      <c r="G70" t="s">
        <v>30</v>
      </c>
      <c r="H70" t="s">
        <v>21</v>
      </c>
      <c r="I70" t="s">
        <v>22</v>
      </c>
      <c r="J70" s="4">
        <v>45000</v>
      </c>
    </row>
    <row r="71" spans="1:13" x14ac:dyDescent="0.2">
      <c r="A71" s="3">
        <v>29</v>
      </c>
      <c r="M71" s="4">
        <v>150</v>
      </c>
    </row>
    <row r="72" spans="1:13" x14ac:dyDescent="0.2">
      <c r="A72" s="3">
        <v>30</v>
      </c>
      <c r="B72" s="3">
        <v>47</v>
      </c>
      <c r="C72" s="1">
        <v>45785</v>
      </c>
      <c r="D72" t="s">
        <v>73</v>
      </c>
      <c r="E72" t="s">
        <v>28</v>
      </c>
      <c r="F72" t="s">
        <v>74</v>
      </c>
      <c r="G72" t="s">
        <v>39</v>
      </c>
      <c r="H72" t="s">
        <v>21</v>
      </c>
      <c r="I72" t="s">
        <v>22</v>
      </c>
      <c r="J72" s="4">
        <v>29000</v>
      </c>
    </row>
    <row r="73" spans="1:13" x14ac:dyDescent="0.2">
      <c r="A73" s="3">
        <v>30</v>
      </c>
      <c r="M73" s="4">
        <v>150</v>
      </c>
    </row>
    <row r="74" spans="1:13" x14ac:dyDescent="0.2">
      <c r="A74" s="3">
        <v>31</v>
      </c>
      <c r="B74" s="3">
        <v>48</v>
      </c>
      <c r="C74" s="1">
        <v>45786</v>
      </c>
      <c r="D74" t="s">
        <v>75</v>
      </c>
      <c r="E74" t="s">
        <v>41</v>
      </c>
      <c r="F74" t="s">
        <v>76</v>
      </c>
      <c r="G74" t="s">
        <v>77</v>
      </c>
      <c r="H74" t="s">
        <v>21</v>
      </c>
      <c r="I74" t="s">
        <v>22</v>
      </c>
      <c r="J74" s="4">
        <v>78000</v>
      </c>
    </row>
    <row r="75" spans="1:13" x14ac:dyDescent="0.2">
      <c r="A75" s="3">
        <v>31</v>
      </c>
      <c r="M75" s="4">
        <v>150</v>
      </c>
    </row>
    <row r="76" spans="1:13" x14ac:dyDescent="0.2">
      <c r="A76" s="3">
        <v>32</v>
      </c>
      <c r="B76" s="3">
        <v>49</v>
      </c>
      <c r="C76" s="1">
        <v>45789</v>
      </c>
      <c r="D76" t="s">
        <v>78</v>
      </c>
      <c r="E76" t="s">
        <v>79</v>
      </c>
      <c r="F76" t="s">
        <v>80</v>
      </c>
      <c r="G76" t="s">
        <v>81</v>
      </c>
      <c r="H76" t="s">
        <v>21</v>
      </c>
      <c r="I76" t="s">
        <v>22</v>
      </c>
      <c r="J76" s="4">
        <v>70000</v>
      </c>
    </row>
    <row r="77" spans="1:13" x14ac:dyDescent="0.2">
      <c r="A77" s="3">
        <v>32</v>
      </c>
      <c r="M77" s="4">
        <v>150</v>
      </c>
    </row>
    <row r="78" spans="1:13" x14ac:dyDescent="0.2">
      <c r="A78" s="3">
        <v>33</v>
      </c>
      <c r="B78" s="3">
        <v>101</v>
      </c>
      <c r="C78" s="1">
        <v>45787</v>
      </c>
      <c r="D78" t="s">
        <v>82</v>
      </c>
      <c r="E78" t="s">
        <v>41</v>
      </c>
      <c r="F78" t="s">
        <v>83</v>
      </c>
      <c r="G78" t="s">
        <v>84</v>
      </c>
      <c r="H78" t="s">
        <v>21</v>
      </c>
      <c r="I78" t="s">
        <v>22</v>
      </c>
      <c r="J78" s="4">
        <v>37000</v>
      </c>
    </row>
    <row r="79" spans="1:13" x14ac:dyDescent="0.2">
      <c r="A79" s="3">
        <v>33</v>
      </c>
      <c r="K79" t="s">
        <v>85</v>
      </c>
      <c r="L79" s="4">
        <v>2500</v>
      </c>
    </row>
    <row r="80" spans="1:13" x14ac:dyDescent="0.2">
      <c r="A80" s="3">
        <v>33</v>
      </c>
      <c r="K80" t="s">
        <v>86</v>
      </c>
      <c r="L80" s="4">
        <v>10000</v>
      </c>
    </row>
    <row r="81" spans="1:13" x14ac:dyDescent="0.2">
      <c r="A81" s="3">
        <v>33</v>
      </c>
      <c r="M81" s="4">
        <v>150</v>
      </c>
    </row>
    <row r="82" spans="1:13" x14ac:dyDescent="0.2">
      <c r="A82" s="3">
        <v>34</v>
      </c>
      <c r="B82" s="3">
        <v>102</v>
      </c>
      <c r="C82" s="1">
        <v>45787</v>
      </c>
      <c r="D82" t="s">
        <v>87</v>
      </c>
      <c r="E82" t="s">
        <v>41</v>
      </c>
      <c r="F82" t="s">
        <v>83</v>
      </c>
      <c r="G82" t="s">
        <v>84</v>
      </c>
      <c r="H82" t="s">
        <v>21</v>
      </c>
      <c r="I82" t="s">
        <v>22</v>
      </c>
      <c r="J82" s="4">
        <v>37000</v>
      </c>
    </row>
    <row r="83" spans="1:13" x14ac:dyDescent="0.2">
      <c r="A83" s="3">
        <v>34</v>
      </c>
      <c r="K83" t="s">
        <v>85</v>
      </c>
      <c r="L83" s="4">
        <v>2500</v>
      </c>
    </row>
    <row r="84" spans="1:13" x14ac:dyDescent="0.2">
      <c r="A84" s="3">
        <v>34</v>
      </c>
      <c r="K84" t="s">
        <v>86</v>
      </c>
      <c r="L84" s="4">
        <v>10000</v>
      </c>
    </row>
    <row r="85" spans="1:13" x14ac:dyDescent="0.2">
      <c r="A85" s="3">
        <v>34</v>
      </c>
      <c r="M85" s="4">
        <v>150</v>
      </c>
    </row>
    <row r="86" spans="1:13" x14ac:dyDescent="0.2">
      <c r="A86" s="3">
        <v>35</v>
      </c>
      <c r="B86" s="3">
        <v>103</v>
      </c>
      <c r="C86" s="1">
        <v>45787</v>
      </c>
      <c r="D86" t="s">
        <v>88</v>
      </c>
      <c r="E86" t="s">
        <v>41</v>
      </c>
      <c r="F86" t="s">
        <v>83</v>
      </c>
      <c r="G86" t="s">
        <v>84</v>
      </c>
      <c r="H86" t="s">
        <v>21</v>
      </c>
      <c r="I86" t="s">
        <v>22</v>
      </c>
      <c r="J86" s="4">
        <v>37000</v>
      </c>
    </row>
    <row r="87" spans="1:13" x14ac:dyDescent="0.2">
      <c r="A87" s="3">
        <v>35</v>
      </c>
      <c r="K87" t="s">
        <v>89</v>
      </c>
      <c r="L87" s="4">
        <v>7500</v>
      </c>
    </row>
    <row r="88" spans="1:13" x14ac:dyDescent="0.2">
      <c r="A88" s="3">
        <v>35</v>
      </c>
      <c r="M88" s="4">
        <v>150</v>
      </c>
    </row>
    <row r="89" spans="1:13" x14ac:dyDescent="0.2">
      <c r="A89" s="3">
        <v>36</v>
      </c>
      <c r="B89" s="3">
        <v>104</v>
      </c>
      <c r="C89" s="1">
        <v>45787</v>
      </c>
      <c r="D89" t="s">
        <v>91</v>
      </c>
      <c r="E89" t="s">
        <v>41</v>
      </c>
      <c r="F89" t="s">
        <v>83</v>
      </c>
      <c r="G89" t="s">
        <v>84</v>
      </c>
      <c r="H89" t="s">
        <v>21</v>
      </c>
      <c r="I89" t="s">
        <v>22</v>
      </c>
      <c r="J89" s="4">
        <v>37000</v>
      </c>
    </row>
    <row r="90" spans="1:13" x14ac:dyDescent="0.2">
      <c r="A90" s="3">
        <v>36</v>
      </c>
      <c r="K90" t="s">
        <v>90</v>
      </c>
      <c r="L90" s="4">
        <v>4000</v>
      </c>
    </row>
    <row r="91" spans="1:13" x14ac:dyDescent="0.2">
      <c r="A91" s="3">
        <v>36</v>
      </c>
      <c r="M91" s="4">
        <v>150</v>
      </c>
    </row>
    <row r="92" spans="1:13" x14ac:dyDescent="0.2">
      <c r="A92" s="3">
        <v>37</v>
      </c>
      <c r="B92" s="3">
        <v>105</v>
      </c>
      <c r="C92" s="1">
        <v>45790</v>
      </c>
      <c r="D92" t="s">
        <v>92</v>
      </c>
      <c r="E92" t="s">
        <v>41</v>
      </c>
      <c r="F92" t="s">
        <v>83</v>
      </c>
      <c r="G92" t="s">
        <v>84</v>
      </c>
      <c r="H92" t="s">
        <v>21</v>
      </c>
      <c r="I92" t="s">
        <v>22</v>
      </c>
      <c r="J92" s="4">
        <v>37000</v>
      </c>
    </row>
    <row r="93" spans="1:13" x14ac:dyDescent="0.2">
      <c r="A93" s="3">
        <v>37</v>
      </c>
      <c r="K93" t="s">
        <v>86</v>
      </c>
      <c r="L93" s="4">
        <v>10000</v>
      </c>
    </row>
    <row r="94" spans="1:13" x14ac:dyDescent="0.2">
      <c r="A94" s="3">
        <v>37</v>
      </c>
      <c r="M94" s="4">
        <v>150</v>
      </c>
    </row>
    <row r="95" spans="1:13" x14ac:dyDescent="0.2">
      <c r="A95" s="3">
        <v>38</v>
      </c>
      <c r="B95" s="3">
        <v>106</v>
      </c>
      <c r="C95" s="1">
        <v>45790</v>
      </c>
      <c r="D95" t="s">
        <v>93</v>
      </c>
      <c r="E95" t="s">
        <v>41</v>
      </c>
      <c r="F95" t="s">
        <v>83</v>
      </c>
      <c r="G95" t="s">
        <v>84</v>
      </c>
      <c r="H95" t="s">
        <v>21</v>
      </c>
      <c r="I95" t="s">
        <v>22</v>
      </c>
      <c r="J95" s="4">
        <v>37000</v>
      </c>
    </row>
    <row r="96" spans="1:13" x14ac:dyDescent="0.2">
      <c r="A96" s="3">
        <v>38</v>
      </c>
      <c r="K96" t="s">
        <v>89</v>
      </c>
      <c r="L96" s="4">
        <v>7500</v>
      </c>
    </row>
    <row r="97" spans="1:13" x14ac:dyDescent="0.2">
      <c r="A97" s="3">
        <v>38</v>
      </c>
      <c r="M97" s="4">
        <v>150</v>
      </c>
    </row>
    <row r="98" spans="1:13" x14ac:dyDescent="0.2">
      <c r="A98" s="3">
        <v>39</v>
      </c>
      <c r="B98" s="3">
        <v>107</v>
      </c>
      <c r="C98" s="1">
        <v>45790</v>
      </c>
      <c r="D98" t="s">
        <v>94</v>
      </c>
      <c r="E98" t="s">
        <v>41</v>
      </c>
      <c r="F98" t="s">
        <v>83</v>
      </c>
      <c r="G98" t="s">
        <v>84</v>
      </c>
      <c r="H98" t="s">
        <v>21</v>
      </c>
      <c r="I98" t="s">
        <v>22</v>
      </c>
      <c r="J98" s="4">
        <v>37000</v>
      </c>
    </row>
    <row r="99" spans="1:13" x14ac:dyDescent="0.2">
      <c r="A99" s="3">
        <v>39</v>
      </c>
      <c r="K99" t="s">
        <v>85</v>
      </c>
      <c r="L99" s="4">
        <v>2500</v>
      </c>
    </row>
    <row r="100" spans="1:13" x14ac:dyDescent="0.2">
      <c r="A100" s="3">
        <v>39</v>
      </c>
      <c r="K100" t="s">
        <v>89</v>
      </c>
      <c r="L100" s="4">
        <v>7500</v>
      </c>
    </row>
    <row r="101" spans="1:13" x14ac:dyDescent="0.2">
      <c r="A101" s="3">
        <v>39</v>
      </c>
      <c r="M101" s="4">
        <v>150</v>
      </c>
    </row>
    <row r="102" spans="1:13" x14ac:dyDescent="0.2">
      <c r="A102" s="3">
        <v>40</v>
      </c>
      <c r="B102" s="3">
        <v>108</v>
      </c>
      <c r="C102" s="1">
        <v>45790</v>
      </c>
      <c r="D102" t="s">
        <v>95</v>
      </c>
      <c r="E102" t="s">
        <v>41</v>
      </c>
      <c r="F102" t="s">
        <v>83</v>
      </c>
      <c r="G102" t="s">
        <v>84</v>
      </c>
      <c r="H102" t="s">
        <v>21</v>
      </c>
      <c r="I102" t="s">
        <v>22</v>
      </c>
      <c r="J102" s="4">
        <v>37000</v>
      </c>
    </row>
    <row r="103" spans="1:13" x14ac:dyDescent="0.2">
      <c r="A103" s="3">
        <v>40</v>
      </c>
      <c r="K103" t="s">
        <v>85</v>
      </c>
      <c r="L103" s="4">
        <v>2500</v>
      </c>
    </row>
    <row r="104" spans="1:13" x14ac:dyDescent="0.2">
      <c r="A104" s="3">
        <v>40</v>
      </c>
      <c r="K104" t="s">
        <v>89</v>
      </c>
      <c r="L104" s="4">
        <v>7500</v>
      </c>
    </row>
    <row r="105" spans="1:13" x14ac:dyDescent="0.2">
      <c r="A105" s="3">
        <v>40</v>
      </c>
      <c r="M105" s="4">
        <v>150</v>
      </c>
    </row>
    <row r="106" spans="1:13" x14ac:dyDescent="0.2">
      <c r="A106" s="3">
        <v>41</v>
      </c>
      <c r="B106" s="3">
        <v>109</v>
      </c>
      <c r="C106" s="1">
        <v>45790</v>
      </c>
      <c r="D106" t="s">
        <v>96</v>
      </c>
      <c r="E106" t="s">
        <v>38</v>
      </c>
      <c r="F106" t="s">
        <v>97</v>
      </c>
      <c r="G106" t="s">
        <v>39</v>
      </c>
      <c r="H106" t="s">
        <v>21</v>
      </c>
      <c r="I106" t="s">
        <v>22</v>
      </c>
      <c r="J106" s="4">
        <v>26000</v>
      </c>
    </row>
    <row r="107" spans="1:13" x14ac:dyDescent="0.2">
      <c r="A107" s="3">
        <v>41</v>
      </c>
      <c r="B107" s="3">
        <v>110</v>
      </c>
      <c r="C107" s="1">
        <v>45790</v>
      </c>
      <c r="D107" t="s">
        <v>96</v>
      </c>
      <c r="E107" t="s">
        <v>38</v>
      </c>
      <c r="F107" t="s">
        <v>97</v>
      </c>
      <c r="G107" t="s">
        <v>39</v>
      </c>
      <c r="H107" t="s">
        <v>21</v>
      </c>
      <c r="I107" t="s">
        <v>22</v>
      </c>
    </row>
    <row r="108" spans="1:13" x14ac:dyDescent="0.2">
      <c r="A108" s="3">
        <v>41</v>
      </c>
      <c r="M108" s="4">
        <v>150</v>
      </c>
    </row>
    <row r="109" spans="1:13" x14ac:dyDescent="0.2">
      <c r="A109" s="3">
        <v>42</v>
      </c>
      <c r="B109" s="3">
        <v>111</v>
      </c>
      <c r="C109" s="1">
        <v>45791</v>
      </c>
      <c r="D109" t="s">
        <v>98</v>
      </c>
      <c r="E109" t="s">
        <v>19</v>
      </c>
      <c r="F109" t="s">
        <v>99</v>
      </c>
      <c r="G109" t="s">
        <v>39</v>
      </c>
      <c r="H109" t="s">
        <v>21</v>
      </c>
      <c r="I109" t="s">
        <v>22</v>
      </c>
      <c r="J109" s="4">
        <v>33000</v>
      </c>
    </row>
    <row r="110" spans="1:13" x14ac:dyDescent="0.2">
      <c r="A110" s="3">
        <v>42</v>
      </c>
      <c r="B110" s="3">
        <v>112</v>
      </c>
      <c r="C110" s="1">
        <v>45791</v>
      </c>
      <c r="D110" t="s">
        <v>98</v>
      </c>
      <c r="E110" t="s">
        <v>19</v>
      </c>
      <c r="F110" t="s">
        <v>99</v>
      </c>
      <c r="G110" t="s">
        <v>39</v>
      </c>
      <c r="H110" t="s">
        <v>21</v>
      </c>
      <c r="I110" t="s">
        <v>22</v>
      </c>
    </row>
    <row r="111" spans="1:13" x14ac:dyDescent="0.2">
      <c r="A111" s="3">
        <v>42</v>
      </c>
      <c r="M111" s="4">
        <v>150</v>
      </c>
    </row>
    <row r="112" spans="1:13" x14ac:dyDescent="0.2">
      <c r="A112" s="3">
        <v>43</v>
      </c>
      <c r="B112" s="3">
        <v>20</v>
      </c>
      <c r="C112" s="1">
        <v>45793</v>
      </c>
      <c r="D112" t="s">
        <v>100</v>
      </c>
      <c r="E112" t="s">
        <v>101</v>
      </c>
      <c r="F112" t="s">
        <v>102</v>
      </c>
      <c r="G112" t="s">
        <v>103</v>
      </c>
      <c r="H112" t="s">
        <v>21</v>
      </c>
      <c r="I112" t="s">
        <v>22</v>
      </c>
      <c r="J112" s="4">
        <v>9000</v>
      </c>
    </row>
    <row r="113" spans="1:13" x14ac:dyDescent="0.2">
      <c r="A113" s="3">
        <v>43</v>
      </c>
      <c r="M113" s="4">
        <v>150</v>
      </c>
    </row>
    <row r="114" spans="1:13" x14ac:dyDescent="0.2">
      <c r="A114" s="3">
        <v>44</v>
      </c>
      <c r="B114" s="3">
        <v>113</v>
      </c>
      <c r="C114" s="1">
        <v>45794</v>
      </c>
      <c r="D114" t="s">
        <v>106</v>
      </c>
      <c r="E114" t="s">
        <v>28</v>
      </c>
      <c r="F114" t="s">
        <v>41</v>
      </c>
      <c r="G114" t="s">
        <v>39</v>
      </c>
      <c r="H114" t="s">
        <v>21</v>
      </c>
      <c r="I114" t="s">
        <v>22</v>
      </c>
      <c r="J114" s="4">
        <v>145000</v>
      </c>
    </row>
    <row r="115" spans="1:13" x14ac:dyDescent="0.2">
      <c r="A115" s="3">
        <v>44</v>
      </c>
      <c r="M115" s="4">
        <v>150</v>
      </c>
    </row>
    <row r="116" spans="1:13" x14ac:dyDescent="0.2">
      <c r="A116" s="3">
        <v>45</v>
      </c>
      <c r="B116" s="3">
        <v>114</v>
      </c>
      <c r="C116" s="1">
        <v>45794</v>
      </c>
      <c r="D116" t="s">
        <v>104</v>
      </c>
      <c r="E116" t="s">
        <v>105</v>
      </c>
      <c r="F116" t="s">
        <v>29</v>
      </c>
      <c r="G116" t="s">
        <v>30</v>
      </c>
      <c r="H116" t="s">
        <v>21</v>
      </c>
      <c r="I116" t="s">
        <v>22</v>
      </c>
      <c r="J116" s="4">
        <v>21500</v>
      </c>
    </row>
    <row r="117" spans="1:13" x14ac:dyDescent="0.2">
      <c r="A117" s="3">
        <v>45</v>
      </c>
      <c r="M117" s="4">
        <v>150</v>
      </c>
    </row>
    <row r="118" spans="1:13" x14ac:dyDescent="0.2">
      <c r="A118" s="3">
        <v>46</v>
      </c>
      <c r="B118" s="3">
        <v>115</v>
      </c>
      <c r="C118" s="1">
        <v>45803</v>
      </c>
      <c r="D118" t="s">
        <v>201</v>
      </c>
      <c r="E118" t="s">
        <v>126</v>
      </c>
      <c r="F118" t="s">
        <v>74</v>
      </c>
      <c r="G118" t="s">
        <v>181</v>
      </c>
      <c r="H118" t="s">
        <v>21</v>
      </c>
      <c r="I118" t="s">
        <v>22</v>
      </c>
      <c r="J118" s="4">
        <v>16500</v>
      </c>
    </row>
    <row r="119" spans="1:13" x14ac:dyDescent="0.2">
      <c r="A119" s="3">
        <v>46</v>
      </c>
      <c r="M119" s="4">
        <v>150</v>
      </c>
    </row>
    <row r="120" spans="1:13" x14ac:dyDescent="0.2">
      <c r="A120" s="3">
        <v>47</v>
      </c>
      <c r="B120" s="3">
        <v>116</v>
      </c>
      <c r="C120" s="1">
        <v>45835</v>
      </c>
      <c r="D120" t="s">
        <v>182</v>
      </c>
      <c r="E120" t="s">
        <v>183</v>
      </c>
      <c r="F120" t="s">
        <v>184</v>
      </c>
      <c r="H120" t="s">
        <v>21</v>
      </c>
      <c r="I120" t="s">
        <v>22</v>
      </c>
      <c r="J120" s="4">
        <v>10000</v>
      </c>
    </row>
    <row r="121" spans="1:13" x14ac:dyDescent="0.2">
      <c r="A121" s="3">
        <v>47</v>
      </c>
      <c r="M121" s="4">
        <v>150</v>
      </c>
    </row>
    <row r="122" spans="1:13" x14ac:dyDescent="0.2">
      <c r="A122" s="3">
        <v>48</v>
      </c>
      <c r="B122" s="3">
        <v>117</v>
      </c>
      <c r="C122" s="1">
        <v>45806</v>
      </c>
      <c r="D122" t="s">
        <v>180</v>
      </c>
      <c r="E122" t="s">
        <v>41</v>
      </c>
      <c r="F122" t="s">
        <v>20</v>
      </c>
      <c r="G122" t="s">
        <v>84</v>
      </c>
      <c r="H122" t="s">
        <v>21</v>
      </c>
      <c r="I122" t="s">
        <v>22</v>
      </c>
      <c r="J122" s="4">
        <v>37500</v>
      </c>
    </row>
    <row r="123" spans="1:13" x14ac:dyDescent="0.2">
      <c r="A123" s="3">
        <v>48</v>
      </c>
      <c r="K123" t="s">
        <v>120</v>
      </c>
      <c r="L123" s="4">
        <v>2000</v>
      </c>
    </row>
    <row r="124" spans="1:13" x14ac:dyDescent="0.2">
      <c r="A124" s="3">
        <v>48</v>
      </c>
      <c r="M124" s="4">
        <v>150</v>
      </c>
    </row>
    <row r="125" spans="1:13" x14ac:dyDescent="0.2">
      <c r="A125" s="3">
        <v>49</v>
      </c>
      <c r="B125" s="3">
        <v>118</v>
      </c>
      <c r="C125" s="1">
        <v>45806</v>
      </c>
      <c r="D125" t="s">
        <v>185</v>
      </c>
      <c r="E125" t="s">
        <v>41</v>
      </c>
      <c r="F125" t="s">
        <v>20</v>
      </c>
      <c r="G125" t="s">
        <v>84</v>
      </c>
      <c r="H125" t="s">
        <v>21</v>
      </c>
      <c r="I125" t="s">
        <v>22</v>
      </c>
      <c r="J125" s="4">
        <v>37500</v>
      </c>
    </row>
    <row r="126" spans="1:13" x14ac:dyDescent="0.2">
      <c r="A126" s="3">
        <v>49</v>
      </c>
      <c r="K126" t="s">
        <v>120</v>
      </c>
      <c r="L126" s="4">
        <v>2000</v>
      </c>
    </row>
    <row r="127" spans="1:13" x14ac:dyDescent="0.2">
      <c r="A127" s="3">
        <v>49</v>
      </c>
      <c r="M127" s="4">
        <v>150</v>
      </c>
    </row>
    <row r="128" spans="1:13" x14ac:dyDescent="0.2">
      <c r="A128" s="3">
        <v>50</v>
      </c>
      <c r="B128" s="3">
        <v>119</v>
      </c>
      <c r="C128" s="1">
        <v>45806</v>
      </c>
      <c r="D128" t="s">
        <v>186</v>
      </c>
      <c r="E128" t="s">
        <v>187</v>
      </c>
      <c r="F128" t="s">
        <v>72</v>
      </c>
      <c r="G128" t="s">
        <v>39</v>
      </c>
      <c r="H128" t="s">
        <v>21</v>
      </c>
      <c r="I128" t="s">
        <v>22</v>
      </c>
      <c r="J128" s="4">
        <v>55000</v>
      </c>
    </row>
    <row r="129" spans="1:13" x14ac:dyDescent="0.2">
      <c r="A129" s="3">
        <v>50</v>
      </c>
      <c r="M129" s="4">
        <v>150</v>
      </c>
    </row>
    <row r="130" spans="1:13" x14ac:dyDescent="0.2">
      <c r="A130" s="3">
        <v>51</v>
      </c>
      <c r="B130" s="3">
        <v>120</v>
      </c>
      <c r="C130" s="1">
        <v>45807</v>
      </c>
      <c r="D130" t="s">
        <v>188</v>
      </c>
      <c r="E130" t="s">
        <v>83</v>
      </c>
      <c r="F130" t="s">
        <v>189</v>
      </c>
      <c r="G130" t="s">
        <v>190</v>
      </c>
      <c r="H130" t="s">
        <v>21</v>
      </c>
      <c r="I130" t="s">
        <v>22</v>
      </c>
      <c r="J130" s="4">
        <v>36500</v>
      </c>
    </row>
    <row r="131" spans="1:13" x14ac:dyDescent="0.2">
      <c r="A131" s="3">
        <v>51</v>
      </c>
      <c r="B131" s="3">
        <v>121</v>
      </c>
      <c r="C131" s="1">
        <v>45807</v>
      </c>
      <c r="D131" t="s">
        <v>188</v>
      </c>
      <c r="E131" t="s">
        <v>187</v>
      </c>
      <c r="F131" t="s">
        <v>99</v>
      </c>
      <c r="G131" t="s">
        <v>191</v>
      </c>
      <c r="H131" t="s">
        <v>21</v>
      </c>
      <c r="I131" t="s">
        <v>22</v>
      </c>
    </row>
    <row r="132" spans="1:13" x14ac:dyDescent="0.2">
      <c r="A132" s="3">
        <v>51</v>
      </c>
      <c r="M132" s="4">
        <v>150</v>
      </c>
    </row>
    <row r="133" spans="1:13" x14ac:dyDescent="0.2">
      <c r="A133" s="3">
        <v>52</v>
      </c>
      <c r="B133" s="3">
        <v>122</v>
      </c>
      <c r="C133" s="1">
        <v>45811</v>
      </c>
      <c r="D133" t="s">
        <v>192</v>
      </c>
      <c r="E133" t="s">
        <v>99</v>
      </c>
      <c r="F133" t="s">
        <v>41</v>
      </c>
      <c r="G133" t="s">
        <v>136</v>
      </c>
      <c r="H133" t="s">
        <v>21</v>
      </c>
      <c r="I133" t="s">
        <v>22</v>
      </c>
      <c r="J133" s="4">
        <v>128000</v>
      </c>
    </row>
    <row r="134" spans="1:13" x14ac:dyDescent="0.2">
      <c r="A134" s="3">
        <v>52</v>
      </c>
      <c r="M134" s="4">
        <v>150</v>
      </c>
    </row>
    <row r="135" spans="1:13" x14ac:dyDescent="0.2">
      <c r="A135" s="3">
        <v>53</v>
      </c>
      <c r="B135" s="3">
        <v>123</v>
      </c>
      <c r="C135" s="1">
        <v>45812</v>
      </c>
      <c r="D135" t="s">
        <v>193</v>
      </c>
      <c r="E135" t="s">
        <v>20</v>
      </c>
      <c r="F135" t="s">
        <v>187</v>
      </c>
      <c r="G135" t="s">
        <v>39</v>
      </c>
      <c r="H135" t="s">
        <v>21</v>
      </c>
      <c r="I135" t="s">
        <v>22</v>
      </c>
      <c r="J135" s="4">
        <v>13500</v>
      </c>
    </row>
    <row r="136" spans="1:13" x14ac:dyDescent="0.2">
      <c r="A136" s="3">
        <v>53</v>
      </c>
      <c r="M136" s="4">
        <v>150</v>
      </c>
    </row>
    <row r="137" spans="1:13" x14ac:dyDescent="0.2">
      <c r="A137" s="3">
        <v>54</v>
      </c>
      <c r="B137" s="3">
        <v>124</v>
      </c>
      <c r="C137" s="1">
        <v>45813</v>
      </c>
      <c r="D137" t="s">
        <v>134</v>
      </c>
      <c r="E137" t="s">
        <v>187</v>
      </c>
      <c r="F137" t="s">
        <v>97</v>
      </c>
      <c r="G137" t="s">
        <v>39</v>
      </c>
      <c r="H137" t="s">
        <v>21</v>
      </c>
      <c r="I137" t="s">
        <v>22</v>
      </c>
      <c r="J137" s="4">
        <v>16500</v>
      </c>
    </row>
    <row r="138" spans="1:13" x14ac:dyDescent="0.2">
      <c r="A138" s="3">
        <v>54</v>
      </c>
      <c r="B138" s="3">
        <v>125</v>
      </c>
      <c r="C138" s="1">
        <v>45813</v>
      </c>
      <c r="D138" t="s">
        <v>134</v>
      </c>
      <c r="E138" t="s">
        <v>28</v>
      </c>
      <c r="F138" t="s">
        <v>194</v>
      </c>
      <c r="G138" t="s">
        <v>30</v>
      </c>
      <c r="H138" t="s">
        <v>21</v>
      </c>
      <c r="I138" t="s">
        <v>22</v>
      </c>
    </row>
    <row r="139" spans="1:13" x14ac:dyDescent="0.2">
      <c r="A139" s="3">
        <v>54</v>
      </c>
      <c r="M139" s="4">
        <v>150</v>
      </c>
    </row>
    <row r="140" spans="1:13" x14ac:dyDescent="0.2">
      <c r="A140" s="3">
        <v>55</v>
      </c>
      <c r="B140" s="3">
        <v>126</v>
      </c>
      <c r="C140" s="1">
        <v>45813</v>
      </c>
      <c r="D140" t="s">
        <v>195</v>
      </c>
      <c r="E140" t="s">
        <v>28</v>
      </c>
      <c r="F140" t="s">
        <v>124</v>
      </c>
      <c r="G140" t="s">
        <v>196</v>
      </c>
      <c r="H140" t="s">
        <v>21</v>
      </c>
      <c r="I140" t="s">
        <v>22</v>
      </c>
      <c r="J140" s="4">
        <v>10000</v>
      </c>
    </row>
    <row r="141" spans="1:13" x14ac:dyDescent="0.2">
      <c r="A141" s="3">
        <v>55</v>
      </c>
      <c r="M141" s="4">
        <v>150</v>
      </c>
    </row>
    <row r="142" spans="1:13" x14ac:dyDescent="0.2">
      <c r="A142" s="3">
        <v>56</v>
      </c>
      <c r="B142" s="3">
        <v>127</v>
      </c>
      <c r="C142" s="1">
        <v>45819</v>
      </c>
      <c r="D142" t="s">
        <v>197</v>
      </c>
      <c r="E142" t="s">
        <v>19</v>
      </c>
      <c r="F142" t="s">
        <v>198</v>
      </c>
      <c r="G142" t="s">
        <v>199</v>
      </c>
      <c r="H142" t="s">
        <v>21</v>
      </c>
      <c r="I142" t="s">
        <v>22</v>
      </c>
      <c r="J142" s="4">
        <v>12000</v>
      </c>
    </row>
    <row r="143" spans="1:13" x14ac:dyDescent="0.2">
      <c r="A143" s="3">
        <v>56</v>
      </c>
      <c r="B143" s="3">
        <v>128</v>
      </c>
      <c r="C143" s="1">
        <v>45819</v>
      </c>
      <c r="D143" t="s">
        <v>197</v>
      </c>
      <c r="E143" t="s">
        <v>19</v>
      </c>
      <c r="F143" t="s">
        <v>198</v>
      </c>
      <c r="G143" t="s">
        <v>199</v>
      </c>
      <c r="H143" t="s">
        <v>21</v>
      </c>
      <c r="I143" t="s">
        <v>22</v>
      </c>
    </row>
    <row r="144" spans="1:13" x14ac:dyDescent="0.2">
      <c r="A144" s="3">
        <v>56</v>
      </c>
      <c r="M144" s="4">
        <v>150</v>
      </c>
    </row>
    <row r="145" spans="1:13" x14ac:dyDescent="0.2">
      <c r="A145" s="3">
        <v>57</v>
      </c>
      <c r="B145" s="3">
        <v>129</v>
      </c>
      <c r="C145" s="1">
        <v>45828</v>
      </c>
      <c r="D145" t="s">
        <v>200</v>
      </c>
      <c r="E145" t="s">
        <v>29</v>
      </c>
      <c r="F145" t="s">
        <v>99</v>
      </c>
      <c r="G145" t="s">
        <v>39</v>
      </c>
      <c r="H145" t="s">
        <v>21</v>
      </c>
      <c r="I145" t="s">
        <v>22</v>
      </c>
      <c r="J145" s="4">
        <v>20500</v>
      </c>
    </row>
    <row r="146" spans="1:13" x14ac:dyDescent="0.2">
      <c r="A146" s="3">
        <v>57</v>
      </c>
      <c r="M146" s="4">
        <v>150</v>
      </c>
    </row>
    <row r="147" spans="1:13" x14ac:dyDescent="0.2">
      <c r="A147" s="3">
        <v>58</v>
      </c>
      <c r="B147" s="3">
        <v>130</v>
      </c>
      <c r="C147" s="1">
        <v>45833</v>
      </c>
      <c r="D147" t="s">
        <v>207</v>
      </c>
      <c r="E147" t="s">
        <v>19</v>
      </c>
      <c r="F147" t="s">
        <v>19</v>
      </c>
      <c r="G147" t="s">
        <v>39</v>
      </c>
      <c r="H147" t="s">
        <v>21</v>
      </c>
      <c r="I147" t="s">
        <v>22</v>
      </c>
      <c r="J147" s="4">
        <v>12500</v>
      </c>
    </row>
    <row r="148" spans="1:13" x14ac:dyDescent="0.2">
      <c r="A148" s="3">
        <v>58</v>
      </c>
      <c r="B148" s="3">
        <v>131</v>
      </c>
      <c r="C148" s="1">
        <v>45833</v>
      </c>
      <c r="D148" t="s">
        <v>207</v>
      </c>
      <c r="E148" t="s">
        <v>19</v>
      </c>
      <c r="F148" t="s">
        <v>19</v>
      </c>
      <c r="G148" t="s">
        <v>39</v>
      </c>
      <c r="H148" t="s">
        <v>21</v>
      </c>
      <c r="I148" t="s">
        <v>22</v>
      </c>
    </row>
    <row r="149" spans="1:13" x14ac:dyDescent="0.2">
      <c r="A149" s="3">
        <v>58</v>
      </c>
      <c r="M149" s="4">
        <v>150</v>
      </c>
    </row>
    <row r="150" spans="1:13" x14ac:dyDescent="0.2">
      <c r="A150" s="3">
        <v>59</v>
      </c>
      <c r="B150" s="3">
        <v>132</v>
      </c>
      <c r="C150" s="1">
        <v>45833</v>
      </c>
      <c r="D150" t="s">
        <v>208</v>
      </c>
      <c r="E150" t="s">
        <v>155</v>
      </c>
      <c r="F150" t="s">
        <v>187</v>
      </c>
      <c r="G150" t="s">
        <v>30</v>
      </c>
      <c r="H150" t="s">
        <v>21</v>
      </c>
      <c r="I150" t="s">
        <v>22</v>
      </c>
      <c r="J150" s="4">
        <v>18000</v>
      </c>
    </row>
    <row r="151" spans="1:13" x14ac:dyDescent="0.2">
      <c r="A151" s="3">
        <v>59</v>
      </c>
      <c r="M151" s="4">
        <v>150</v>
      </c>
    </row>
    <row r="152" spans="1:13" x14ac:dyDescent="0.2">
      <c r="A152" s="3">
        <v>60</v>
      </c>
      <c r="B152" s="3">
        <v>133</v>
      </c>
      <c r="C152" s="1">
        <v>45834</v>
      </c>
      <c r="D152" t="s">
        <v>209</v>
      </c>
      <c r="E152" t="s">
        <v>19</v>
      </c>
      <c r="F152" t="s">
        <v>210</v>
      </c>
      <c r="G152" t="s">
        <v>39</v>
      </c>
      <c r="H152" t="s">
        <v>21</v>
      </c>
      <c r="I152" t="s">
        <v>22</v>
      </c>
      <c r="J152" s="4">
        <v>26500</v>
      </c>
    </row>
    <row r="153" spans="1:13" x14ac:dyDescent="0.2">
      <c r="A153" s="3">
        <v>60</v>
      </c>
      <c r="B153" s="3">
        <v>134</v>
      </c>
      <c r="C153" s="1">
        <v>45834</v>
      </c>
      <c r="D153" t="s">
        <v>209</v>
      </c>
      <c r="E153" t="s">
        <v>19</v>
      </c>
      <c r="F153" t="s">
        <v>210</v>
      </c>
      <c r="G153" t="s">
        <v>39</v>
      </c>
      <c r="H153" t="s">
        <v>21</v>
      </c>
      <c r="I153" t="s">
        <v>22</v>
      </c>
    </row>
    <row r="154" spans="1:13" x14ac:dyDescent="0.2">
      <c r="A154" s="3">
        <v>60</v>
      </c>
      <c r="M154" s="4">
        <v>150</v>
      </c>
    </row>
    <row r="155" spans="1:13" x14ac:dyDescent="0.2">
      <c r="A155" s="3">
        <v>61</v>
      </c>
      <c r="B155" s="3">
        <v>135</v>
      </c>
      <c r="C155" s="1">
        <v>45834</v>
      </c>
      <c r="D155" t="s">
        <v>211</v>
      </c>
      <c r="E155" t="s">
        <v>187</v>
      </c>
      <c r="F155" t="s">
        <v>212</v>
      </c>
      <c r="G155" t="s">
        <v>213</v>
      </c>
      <c r="H155" t="s">
        <v>21</v>
      </c>
      <c r="I155" t="s">
        <v>22</v>
      </c>
      <c r="J155" s="4">
        <v>67000</v>
      </c>
    </row>
    <row r="156" spans="1:13" x14ac:dyDescent="0.2">
      <c r="A156" s="3">
        <v>61</v>
      </c>
      <c r="M156" s="4">
        <v>150</v>
      </c>
    </row>
    <row r="157" spans="1:13" x14ac:dyDescent="0.2">
      <c r="A157" s="3">
        <v>62</v>
      </c>
      <c r="B157" s="3">
        <v>136</v>
      </c>
      <c r="C157" s="1">
        <v>45834</v>
      </c>
      <c r="D157" t="s">
        <v>214</v>
      </c>
      <c r="E157" t="s">
        <v>215</v>
      </c>
      <c r="F157" t="s">
        <v>28</v>
      </c>
      <c r="G157" t="s">
        <v>39</v>
      </c>
      <c r="H157" t="s">
        <v>21</v>
      </c>
      <c r="I157" t="s">
        <v>22</v>
      </c>
      <c r="J157" s="4">
        <v>48000</v>
      </c>
    </row>
    <row r="158" spans="1:13" x14ac:dyDescent="0.2">
      <c r="A158" s="3">
        <v>62</v>
      </c>
      <c r="B158" s="3">
        <v>137</v>
      </c>
      <c r="C158" s="1">
        <v>45834</v>
      </c>
      <c r="D158" t="s">
        <v>214</v>
      </c>
      <c r="E158" t="s">
        <v>215</v>
      </c>
      <c r="F158" t="s">
        <v>28</v>
      </c>
      <c r="G158" t="s">
        <v>39</v>
      </c>
      <c r="H158" t="s">
        <v>21</v>
      </c>
      <c r="I158" t="s">
        <v>22</v>
      </c>
    </row>
    <row r="159" spans="1:13" x14ac:dyDescent="0.2">
      <c r="A159" s="3">
        <v>62</v>
      </c>
      <c r="M159" s="4">
        <v>150</v>
      </c>
    </row>
    <row r="160" spans="1:13" x14ac:dyDescent="0.2">
      <c r="A160" s="3">
        <v>63</v>
      </c>
      <c r="B160" s="3">
        <v>138</v>
      </c>
      <c r="C160" s="1">
        <v>45836</v>
      </c>
      <c r="D160" t="s">
        <v>216</v>
      </c>
      <c r="E160" t="s">
        <v>19</v>
      </c>
      <c r="F160" t="s">
        <v>217</v>
      </c>
      <c r="G160" t="s">
        <v>218</v>
      </c>
      <c r="H160" t="s">
        <v>21</v>
      </c>
      <c r="I160" t="s">
        <v>22</v>
      </c>
      <c r="J160" s="4">
        <v>30000</v>
      </c>
    </row>
    <row r="161" spans="1:13" x14ac:dyDescent="0.2">
      <c r="A161" s="3">
        <v>63</v>
      </c>
      <c r="M161" s="4">
        <v>150</v>
      </c>
    </row>
    <row r="162" spans="1:13" x14ac:dyDescent="0.2">
      <c r="A162" s="3">
        <v>64</v>
      </c>
      <c r="B162" s="3">
        <v>139</v>
      </c>
      <c r="C162" s="1">
        <v>45838</v>
      </c>
      <c r="D162" t="s">
        <v>219</v>
      </c>
      <c r="E162" t="s">
        <v>41</v>
      </c>
      <c r="F162" t="s">
        <v>220</v>
      </c>
      <c r="G162" t="s">
        <v>221</v>
      </c>
      <c r="H162" t="s">
        <v>21</v>
      </c>
      <c r="I162" t="s">
        <v>22</v>
      </c>
      <c r="J162" s="4">
        <v>57000</v>
      </c>
    </row>
    <row r="163" spans="1:13" x14ac:dyDescent="0.2">
      <c r="A163" s="3">
        <v>64</v>
      </c>
      <c r="M163" s="4">
        <v>150</v>
      </c>
    </row>
    <row r="164" spans="1:13" x14ac:dyDescent="0.2">
      <c r="A164" s="3">
        <v>65</v>
      </c>
      <c r="B164" s="3">
        <v>140</v>
      </c>
      <c r="C164" s="1">
        <v>45838</v>
      </c>
      <c r="D164" t="s">
        <v>222</v>
      </c>
      <c r="E164" t="s">
        <v>28</v>
      </c>
      <c r="F164" t="s">
        <v>99</v>
      </c>
      <c r="G164" t="s">
        <v>39</v>
      </c>
      <c r="H164" t="s">
        <v>21</v>
      </c>
      <c r="I164" t="s">
        <v>22</v>
      </c>
      <c r="J164" s="4">
        <v>26500</v>
      </c>
    </row>
    <row r="165" spans="1:13" x14ac:dyDescent="0.2">
      <c r="A165" s="3">
        <v>65</v>
      </c>
      <c r="M165" s="4">
        <v>150</v>
      </c>
    </row>
    <row r="166" spans="1:13" x14ac:dyDescent="0.2">
      <c r="A166" s="3">
        <v>66</v>
      </c>
      <c r="B166" s="3">
        <v>141</v>
      </c>
      <c r="C166" s="1">
        <v>45840</v>
      </c>
      <c r="D166" t="s">
        <v>134</v>
      </c>
      <c r="E166" t="s">
        <v>187</v>
      </c>
      <c r="F166" t="s">
        <v>135</v>
      </c>
      <c r="G166" t="s">
        <v>136</v>
      </c>
      <c r="H166" t="s">
        <v>21</v>
      </c>
      <c r="I166" t="s">
        <v>22</v>
      </c>
      <c r="J166" s="4">
        <v>7000</v>
      </c>
    </row>
    <row r="167" spans="1:13" x14ac:dyDescent="0.2">
      <c r="A167" s="3">
        <v>66</v>
      </c>
      <c r="K167" t="s">
        <v>120</v>
      </c>
      <c r="L167" s="4">
        <v>1500</v>
      </c>
    </row>
    <row r="168" spans="1:13" x14ac:dyDescent="0.2">
      <c r="A168" s="3">
        <v>66</v>
      </c>
      <c r="M168" s="4">
        <v>150</v>
      </c>
    </row>
    <row r="169" spans="1:13" x14ac:dyDescent="0.2">
      <c r="A169" s="3">
        <v>67</v>
      </c>
      <c r="B169" s="3">
        <v>142</v>
      </c>
      <c r="C169" s="1">
        <v>45840</v>
      </c>
      <c r="D169" t="s">
        <v>223</v>
      </c>
      <c r="E169" t="s">
        <v>187</v>
      </c>
      <c r="F169" t="s">
        <v>215</v>
      </c>
      <c r="G169" t="s">
        <v>30</v>
      </c>
      <c r="H169" t="s">
        <v>21</v>
      </c>
      <c r="I169" t="s">
        <v>22</v>
      </c>
      <c r="J169" s="4">
        <v>27000</v>
      </c>
    </row>
    <row r="170" spans="1:13" x14ac:dyDescent="0.2">
      <c r="A170" s="3">
        <v>67</v>
      </c>
      <c r="B170" s="3">
        <v>144</v>
      </c>
      <c r="C170" s="1">
        <v>45841</v>
      </c>
      <c r="D170" t="s">
        <v>223</v>
      </c>
      <c r="E170" t="s">
        <v>215</v>
      </c>
      <c r="F170" t="s">
        <v>28</v>
      </c>
      <c r="G170" t="s">
        <v>30</v>
      </c>
      <c r="H170" t="s">
        <v>21</v>
      </c>
      <c r="I170" t="s">
        <v>22</v>
      </c>
    </row>
    <row r="171" spans="1:13" x14ac:dyDescent="0.2">
      <c r="A171" s="3">
        <v>67</v>
      </c>
      <c r="M171" s="4">
        <v>150</v>
      </c>
    </row>
    <row r="172" spans="1:13" x14ac:dyDescent="0.2">
      <c r="A172" s="3">
        <v>68</v>
      </c>
      <c r="B172" s="3">
        <v>143</v>
      </c>
      <c r="C172" s="1">
        <v>45841</v>
      </c>
      <c r="D172" t="s">
        <v>224</v>
      </c>
      <c r="E172" t="s">
        <v>217</v>
      </c>
      <c r="F172" t="s">
        <v>28</v>
      </c>
      <c r="G172" t="s">
        <v>39</v>
      </c>
      <c r="H172" t="s">
        <v>21</v>
      </c>
      <c r="I172" t="s">
        <v>22</v>
      </c>
      <c r="J172" s="4">
        <v>13500</v>
      </c>
    </row>
    <row r="173" spans="1:13" x14ac:dyDescent="0.2">
      <c r="A173" s="3">
        <v>68</v>
      </c>
      <c r="K173" t="s">
        <v>85</v>
      </c>
      <c r="L173" s="4">
        <v>1500</v>
      </c>
    </row>
    <row r="174" spans="1:13" x14ac:dyDescent="0.2">
      <c r="A174" s="3">
        <v>68</v>
      </c>
      <c r="M174" s="4">
        <v>150</v>
      </c>
    </row>
    <row r="175" spans="1:13" x14ac:dyDescent="0.2">
      <c r="A175" s="3">
        <v>69</v>
      </c>
      <c r="B175" s="3">
        <v>145</v>
      </c>
      <c r="C175" s="1">
        <v>45841</v>
      </c>
      <c r="D175" t="s">
        <v>134</v>
      </c>
      <c r="E175" t="s">
        <v>217</v>
      </c>
      <c r="F175" t="s">
        <v>28</v>
      </c>
      <c r="G175" t="s">
        <v>39</v>
      </c>
      <c r="H175" t="s">
        <v>21</v>
      </c>
      <c r="I175" t="s">
        <v>22</v>
      </c>
      <c r="J175" s="4">
        <v>13500</v>
      </c>
    </row>
    <row r="176" spans="1:13" x14ac:dyDescent="0.2">
      <c r="A176" s="3">
        <v>69</v>
      </c>
      <c r="K176" t="s">
        <v>85</v>
      </c>
      <c r="L176" s="4">
        <v>1500</v>
      </c>
    </row>
    <row r="177" spans="1:13" x14ac:dyDescent="0.2">
      <c r="A177" s="3">
        <v>69</v>
      </c>
      <c r="M177" s="4">
        <v>150</v>
      </c>
    </row>
    <row r="178" spans="1:13" x14ac:dyDescent="0.2">
      <c r="A178" s="3">
        <v>70</v>
      </c>
      <c r="B178" s="3">
        <v>147</v>
      </c>
      <c r="C178" s="1">
        <v>45847</v>
      </c>
      <c r="D178" t="s">
        <v>225</v>
      </c>
      <c r="E178" t="s">
        <v>198</v>
      </c>
      <c r="F178" t="s">
        <v>38</v>
      </c>
      <c r="G178" t="s">
        <v>199</v>
      </c>
      <c r="H178" t="s">
        <v>21</v>
      </c>
      <c r="I178" t="s">
        <v>22</v>
      </c>
      <c r="J178" s="4">
        <v>35000</v>
      </c>
    </row>
    <row r="179" spans="1:13" x14ac:dyDescent="0.2">
      <c r="A179" s="3">
        <v>70</v>
      </c>
      <c r="B179" s="3">
        <v>152</v>
      </c>
      <c r="C179" s="1">
        <v>45849</v>
      </c>
      <c r="D179" t="s">
        <v>225</v>
      </c>
      <c r="E179" t="s">
        <v>38</v>
      </c>
      <c r="F179" t="s">
        <v>226</v>
      </c>
      <c r="G179" t="s">
        <v>199</v>
      </c>
      <c r="H179" t="s">
        <v>21</v>
      </c>
      <c r="I179" t="s">
        <v>22</v>
      </c>
    </row>
    <row r="180" spans="1:13" x14ac:dyDescent="0.2">
      <c r="A180" s="3">
        <v>70</v>
      </c>
      <c r="M180" s="4">
        <v>150</v>
      </c>
    </row>
    <row r="181" spans="1:13" x14ac:dyDescent="0.2">
      <c r="A181" s="3">
        <v>71</v>
      </c>
      <c r="B181" s="3">
        <v>146</v>
      </c>
      <c r="C181" s="1">
        <v>45845</v>
      </c>
      <c r="D181" t="s">
        <v>202</v>
      </c>
      <c r="E181" t="s">
        <v>169</v>
      </c>
      <c r="F181" t="s">
        <v>19</v>
      </c>
      <c r="G181" t="s">
        <v>203</v>
      </c>
      <c r="H181" t="s">
        <v>21</v>
      </c>
      <c r="I181" t="s">
        <v>22</v>
      </c>
      <c r="J181" s="4">
        <v>65000</v>
      </c>
    </row>
    <row r="182" spans="1:13" x14ac:dyDescent="0.2">
      <c r="A182" s="3">
        <v>71</v>
      </c>
      <c r="M182" s="4">
        <v>150</v>
      </c>
    </row>
    <row r="183" spans="1:13" x14ac:dyDescent="0.2">
      <c r="A183" s="3">
        <v>72</v>
      </c>
      <c r="B183" s="3">
        <v>148</v>
      </c>
      <c r="C183" s="1">
        <v>45846</v>
      </c>
      <c r="D183" t="s">
        <v>227</v>
      </c>
      <c r="E183" t="s">
        <v>28</v>
      </c>
      <c r="F183" t="s">
        <v>228</v>
      </c>
      <c r="G183" t="s">
        <v>39</v>
      </c>
      <c r="H183" t="s">
        <v>21</v>
      </c>
      <c r="I183" t="s">
        <v>22</v>
      </c>
      <c r="J183" s="4">
        <v>42000</v>
      </c>
    </row>
    <row r="184" spans="1:13" x14ac:dyDescent="0.2">
      <c r="A184" s="3">
        <v>72</v>
      </c>
      <c r="B184" s="3">
        <v>149</v>
      </c>
      <c r="C184" s="1">
        <v>45846</v>
      </c>
      <c r="D184" t="s">
        <v>227</v>
      </c>
      <c r="E184" t="s">
        <v>28</v>
      </c>
      <c r="F184" t="s">
        <v>228</v>
      </c>
      <c r="G184" t="s">
        <v>147</v>
      </c>
      <c r="H184" t="s">
        <v>21</v>
      </c>
      <c r="I184" t="s">
        <v>22</v>
      </c>
    </row>
    <row r="185" spans="1:13" x14ac:dyDescent="0.2">
      <c r="A185" s="3">
        <v>72</v>
      </c>
      <c r="M185" s="4">
        <v>150</v>
      </c>
    </row>
    <row r="186" spans="1:13" x14ac:dyDescent="0.2">
      <c r="A186" s="3">
        <v>73</v>
      </c>
      <c r="B186" s="3">
        <v>150</v>
      </c>
      <c r="C186" s="1">
        <v>45847</v>
      </c>
      <c r="D186" t="s">
        <v>229</v>
      </c>
      <c r="E186" t="s">
        <v>230</v>
      </c>
      <c r="F186" t="s">
        <v>146</v>
      </c>
      <c r="G186" t="s">
        <v>147</v>
      </c>
      <c r="H186" t="s">
        <v>21</v>
      </c>
      <c r="I186" t="s">
        <v>22</v>
      </c>
      <c r="J186" s="4">
        <v>23000</v>
      </c>
    </row>
    <row r="187" spans="1:13" x14ac:dyDescent="0.2">
      <c r="A187" s="3">
        <v>73</v>
      </c>
      <c r="K187" t="s">
        <v>85</v>
      </c>
      <c r="L187" s="4">
        <v>1500</v>
      </c>
    </row>
    <row r="188" spans="1:13" x14ac:dyDescent="0.2">
      <c r="A188" s="3">
        <v>73</v>
      </c>
      <c r="M188" s="4">
        <v>150</v>
      </c>
    </row>
    <row r="189" spans="1:13" x14ac:dyDescent="0.2">
      <c r="A189" s="3">
        <v>74</v>
      </c>
      <c r="B189" s="3">
        <v>151</v>
      </c>
      <c r="C189" s="1">
        <v>45848</v>
      </c>
      <c r="D189" t="s">
        <v>231</v>
      </c>
      <c r="E189" t="s">
        <v>232</v>
      </c>
      <c r="F189" t="s">
        <v>226</v>
      </c>
      <c r="G189" t="s">
        <v>199</v>
      </c>
      <c r="H189" t="s">
        <v>21</v>
      </c>
      <c r="I189" t="s">
        <v>22</v>
      </c>
      <c r="J189" s="4">
        <v>16000</v>
      </c>
    </row>
    <row r="190" spans="1:13" x14ac:dyDescent="0.2">
      <c r="A190" s="3">
        <v>74</v>
      </c>
      <c r="M190" s="4">
        <v>150</v>
      </c>
    </row>
    <row r="191" spans="1:13" x14ac:dyDescent="0.2">
      <c r="A191" s="3">
        <v>75</v>
      </c>
      <c r="B191" s="3">
        <v>153</v>
      </c>
      <c r="C191" s="1">
        <v>45853</v>
      </c>
      <c r="D191" t="s">
        <v>224</v>
      </c>
      <c r="E191" t="s">
        <v>28</v>
      </c>
      <c r="F191" t="s">
        <v>233</v>
      </c>
      <c r="G191" t="s">
        <v>39</v>
      </c>
      <c r="H191" t="s">
        <v>21</v>
      </c>
      <c r="I191" t="s">
        <v>22</v>
      </c>
      <c r="J191" s="4">
        <v>8000</v>
      </c>
    </row>
    <row r="192" spans="1:13" x14ac:dyDescent="0.2">
      <c r="A192" s="3">
        <v>75</v>
      </c>
      <c r="M192" s="4">
        <v>150</v>
      </c>
    </row>
    <row r="193" spans="1:13" x14ac:dyDescent="0.2">
      <c r="A193" s="3">
        <v>76</v>
      </c>
      <c r="B193" s="3">
        <v>154</v>
      </c>
      <c r="C193" s="1">
        <v>45855</v>
      </c>
      <c r="D193" t="s">
        <v>123</v>
      </c>
      <c r="E193" t="s">
        <v>124</v>
      </c>
      <c r="F193" t="s">
        <v>28</v>
      </c>
      <c r="G193" t="s">
        <v>39</v>
      </c>
      <c r="H193" t="s">
        <v>21</v>
      </c>
      <c r="I193" t="s">
        <v>22</v>
      </c>
      <c r="J193" s="4">
        <v>16500</v>
      </c>
    </row>
    <row r="194" spans="1:13" x14ac:dyDescent="0.2">
      <c r="A194" s="3">
        <v>76</v>
      </c>
      <c r="M194" s="4">
        <v>150</v>
      </c>
    </row>
    <row r="195" spans="1:13" x14ac:dyDescent="0.2">
      <c r="A195" s="3">
        <v>77</v>
      </c>
      <c r="B195" s="3">
        <v>155</v>
      </c>
      <c r="C195" s="1">
        <v>45856</v>
      </c>
      <c r="D195" t="s">
        <v>234</v>
      </c>
      <c r="E195" t="s">
        <v>99</v>
      </c>
      <c r="F195" t="s">
        <v>41</v>
      </c>
      <c r="G195" t="s">
        <v>39</v>
      </c>
      <c r="H195" t="s">
        <v>21</v>
      </c>
      <c r="I195" t="s">
        <v>22</v>
      </c>
      <c r="J195" s="4">
        <v>137000</v>
      </c>
    </row>
    <row r="196" spans="1:13" x14ac:dyDescent="0.2">
      <c r="A196" s="3">
        <v>77</v>
      </c>
      <c r="B196" s="3">
        <v>156</v>
      </c>
      <c r="C196" s="1">
        <v>45856</v>
      </c>
      <c r="D196" t="s">
        <v>234</v>
      </c>
      <c r="E196" t="s">
        <v>99</v>
      </c>
      <c r="F196" t="s">
        <v>41</v>
      </c>
      <c r="G196" t="s">
        <v>213</v>
      </c>
      <c r="H196" t="s">
        <v>21</v>
      </c>
      <c r="I196" t="s">
        <v>22</v>
      </c>
    </row>
    <row r="197" spans="1:13" x14ac:dyDescent="0.2">
      <c r="A197" s="3">
        <v>77</v>
      </c>
      <c r="M197" s="4">
        <v>150</v>
      </c>
    </row>
    <row r="198" spans="1:13" x14ac:dyDescent="0.2">
      <c r="A198" s="3">
        <v>78</v>
      </c>
      <c r="B198" s="3">
        <v>157</v>
      </c>
      <c r="C198" s="1">
        <v>45856</v>
      </c>
      <c r="D198" t="s">
        <v>235</v>
      </c>
      <c r="E198" t="s">
        <v>19</v>
      </c>
      <c r="F198" t="s">
        <v>187</v>
      </c>
      <c r="G198" t="s">
        <v>136</v>
      </c>
      <c r="H198" t="s">
        <v>21</v>
      </c>
      <c r="I198" t="s">
        <v>22</v>
      </c>
      <c r="J198" s="4">
        <v>42000</v>
      </c>
    </row>
    <row r="199" spans="1:13" x14ac:dyDescent="0.2">
      <c r="A199" s="3">
        <v>78</v>
      </c>
      <c r="M199" s="4">
        <v>150</v>
      </c>
    </row>
    <row r="200" spans="1:13" x14ac:dyDescent="0.2">
      <c r="A200" s="3">
        <v>79</v>
      </c>
      <c r="B200" s="3">
        <v>158</v>
      </c>
      <c r="C200" s="1">
        <v>45859</v>
      </c>
      <c r="D200" t="s">
        <v>236</v>
      </c>
      <c r="E200" t="s">
        <v>187</v>
      </c>
      <c r="F200" t="s">
        <v>237</v>
      </c>
      <c r="G200" t="s">
        <v>30</v>
      </c>
      <c r="H200" t="s">
        <v>21</v>
      </c>
      <c r="I200" t="s">
        <v>22</v>
      </c>
      <c r="J200" s="4">
        <v>16500</v>
      </c>
    </row>
    <row r="201" spans="1:13" x14ac:dyDescent="0.2">
      <c r="A201" s="3">
        <v>79</v>
      </c>
      <c r="B201" s="3">
        <v>159</v>
      </c>
      <c r="C201" s="1">
        <v>45859</v>
      </c>
      <c r="D201" t="s">
        <v>236</v>
      </c>
      <c r="E201" t="s">
        <v>237</v>
      </c>
      <c r="F201" t="s">
        <v>28</v>
      </c>
      <c r="G201" t="s">
        <v>30</v>
      </c>
      <c r="H201" t="s">
        <v>21</v>
      </c>
      <c r="I201" t="s">
        <v>22</v>
      </c>
    </row>
    <row r="202" spans="1:13" x14ac:dyDescent="0.2">
      <c r="A202" s="3">
        <v>79</v>
      </c>
      <c r="M202" s="4">
        <v>150</v>
      </c>
    </row>
    <row r="203" spans="1:13" x14ac:dyDescent="0.2">
      <c r="A203" s="3">
        <v>80</v>
      </c>
      <c r="B203" s="3">
        <v>160</v>
      </c>
      <c r="C203" s="1">
        <v>45862</v>
      </c>
      <c r="D203" t="s">
        <v>238</v>
      </c>
      <c r="E203" t="s">
        <v>99</v>
      </c>
      <c r="F203" t="s">
        <v>19</v>
      </c>
      <c r="G203" t="s">
        <v>39</v>
      </c>
      <c r="H203" t="s">
        <v>21</v>
      </c>
      <c r="I203" t="s">
        <v>22</v>
      </c>
      <c r="J203" s="4">
        <v>46000</v>
      </c>
    </row>
    <row r="204" spans="1:13" x14ac:dyDescent="0.2">
      <c r="A204" s="3">
        <v>80</v>
      </c>
      <c r="M204" s="4">
        <v>150</v>
      </c>
    </row>
    <row r="205" spans="1:13" x14ac:dyDescent="0.2">
      <c r="A205" s="3">
        <v>81</v>
      </c>
      <c r="B205" s="3">
        <v>161</v>
      </c>
      <c r="C205" s="1">
        <v>45867</v>
      </c>
      <c r="D205" t="s">
        <v>239</v>
      </c>
      <c r="E205" t="s">
        <v>19</v>
      </c>
      <c r="F205" t="s">
        <v>240</v>
      </c>
      <c r="G205" t="s">
        <v>199</v>
      </c>
      <c r="H205" t="s">
        <v>21</v>
      </c>
      <c r="I205" t="s">
        <v>22</v>
      </c>
      <c r="J205" s="4">
        <v>28000</v>
      </c>
    </row>
    <row r="206" spans="1:13" x14ac:dyDescent="0.2">
      <c r="A206" s="3">
        <v>81</v>
      </c>
      <c r="B206" s="3">
        <v>162</v>
      </c>
      <c r="C206" s="1">
        <v>45868</v>
      </c>
      <c r="D206" t="s">
        <v>239</v>
      </c>
      <c r="E206" t="s">
        <v>19</v>
      </c>
      <c r="F206" t="s">
        <v>240</v>
      </c>
      <c r="G206" t="s">
        <v>199</v>
      </c>
      <c r="H206" t="s">
        <v>21</v>
      </c>
      <c r="I206" t="s">
        <v>22</v>
      </c>
    </row>
    <row r="207" spans="1:13" x14ac:dyDescent="0.2">
      <c r="A207" s="3">
        <v>81</v>
      </c>
      <c r="M207" s="4">
        <v>150</v>
      </c>
    </row>
    <row r="208" spans="1:13" x14ac:dyDescent="0.2">
      <c r="A208" s="3">
        <v>82</v>
      </c>
      <c r="B208" s="3">
        <v>163</v>
      </c>
      <c r="C208" s="1">
        <v>45870</v>
      </c>
      <c r="D208" t="s">
        <v>241</v>
      </c>
      <c r="E208" t="s">
        <v>242</v>
      </c>
      <c r="F208" t="s">
        <v>72</v>
      </c>
      <c r="G208" t="s">
        <v>39</v>
      </c>
      <c r="H208" t="s">
        <v>21</v>
      </c>
      <c r="I208" t="s">
        <v>22</v>
      </c>
      <c r="J208" s="4">
        <v>37000</v>
      </c>
    </row>
    <row r="209" spans="1:13" x14ac:dyDescent="0.2">
      <c r="A209" s="3">
        <v>82</v>
      </c>
      <c r="M209" s="4">
        <v>150</v>
      </c>
    </row>
    <row r="210" spans="1:13" x14ac:dyDescent="0.2">
      <c r="A210" s="3">
        <v>83</v>
      </c>
      <c r="B210" s="3">
        <v>164</v>
      </c>
      <c r="C210" s="1">
        <v>45869</v>
      </c>
      <c r="D210" t="s">
        <v>243</v>
      </c>
      <c r="E210" t="s">
        <v>101</v>
      </c>
      <c r="F210" t="s">
        <v>41</v>
      </c>
      <c r="G210" t="s">
        <v>23</v>
      </c>
      <c r="H210" t="s">
        <v>21</v>
      </c>
      <c r="I210" t="s">
        <v>22</v>
      </c>
      <c r="J210" s="4">
        <v>73500</v>
      </c>
    </row>
    <row r="211" spans="1:13" x14ac:dyDescent="0.2">
      <c r="A211" s="3">
        <v>83</v>
      </c>
      <c r="B211" s="3">
        <v>165</v>
      </c>
      <c r="C211" s="1">
        <v>45875</v>
      </c>
      <c r="D211" t="s">
        <v>243</v>
      </c>
      <c r="E211" t="s">
        <v>41</v>
      </c>
      <c r="F211" t="s">
        <v>244</v>
      </c>
      <c r="G211" t="s">
        <v>39</v>
      </c>
      <c r="H211" t="s">
        <v>21</v>
      </c>
      <c r="I211" t="s">
        <v>22</v>
      </c>
    </row>
    <row r="212" spans="1:13" x14ac:dyDescent="0.2">
      <c r="A212" s="3">
        <v>83</v>
      </c>
      <c r="M212" s="4">
        <v>150</v>
      </c>
    </row>
    <row r="213" spans="1:13" x14ac:dyDescent="0.2">
      <c r="A213" s="3">
        <v>84</v>
      </c>
      <c r="B213" s="3">
        <v>166</v>
      </c>
      <c r="C213" s="1">
        <v>45876</v>
      </c>
      <c r="D213" t="s">
        <v>245</v>
      </c>
      <c r="E213" t="s">
        <v>41</v>
      </c>
      <c r="F213" t="s">
        <v>217</v>
      </c>
      <c r="G213" t="s">
        <v>77</v>
      </c>
      <c r="H213" t="s">
        <v>21</v>
      </c>
      <c r="I213" t="s">
        <v>22</v>
      </c>
      <c r="J213" s="4">
        <v>24000</v>
      </c>
    </row>
    <row r="214" spans="1:13" x14ac:dyDescent="0.2">
      <c r="A214" s="3">
        <v>84</v>
      </c>
      <c r="M214" s="4">
        <v>150</v>
      </c>
    </row>
    <row r="215" spans="1:13" x14ac:dyDescent="0.2">
      <c r="A215" s="3">
        <v>85</v>
      </c>
      <c r="B215" s="3">
        <v>167</v>
      </c>
      <c r="C215" s="1">
        <v>45880</v>
      </c>
      <c r="D215" t="s">
        <v>246</v>
      </c>
      <c r="E215" t="s">
        <v>247</v>
      </c>
      <c r="F215" t="s">
        <v>248</v>
      </c>
      <c r="G215" t="s">
        <v>249</v>
      </c>
      <c r="H215" t="s">
        <v>21</v>
      </c>
      <c r="I215" t="s">
        <v>22</v>
      </c>
      <c r="J215" s="4">
        <v>11500</v>
      </c>
    </row>
    <row r="216" spans="1:13" x14ac:dyDescent="0.2">
      <c r="A216" s="3">
        <v>85</v>
      </c>
      <c r="B216" s="3">
        <v>168</v>
      </c>
      <c r="C216" s="1">
        <v>45880</v>
      </c>
      <c r="D216" t="s">
        <v>246</v>
      </c>
      <c r="E216" t="s">
        <v>247</v>
      </c>
      <c r="F216" t="s">
        <v>248</v>
      </c>
      <c r="G216" t="s">
        <v>249</v>
      </c>
      <c r="H216" t="s">
        <v>21</v>
      </c>
      <c r="I216" t="s">
        <v>22</v>
      </c>
    </row>
    <row r="217" spans="1:13" x14ac:dyDescent="0.2">
      <c r="A217" s="3">
        <v>85</v>
      </c>
      <c r="M217" s="4">
        <v>150</v>
      </c>
    </row>
    <row r="218" spans="1:13" x14ac:dyDescent="0.2">
      <c r="A218" s="3">
        <v>86</v>
      </c>
      <c r="B218" s="3">
        <v>171</v>
      </c>
      <c r="C218" s="1">
        <v>45882</v>
      </c>
      <c r="D218" t="s">
        <v>224</v>
      </c>
      <c r="E218" t="s">
        <v>187</v>
      </c>
      <c r="F218" t="s">
        <v>250</v>
      </c>
      <c r="G218" t="s">
        <v>136</v>
      </c>
      <c r="H218" t="s">
        <v>21</v>
      </c>
      <c r="I218" t="s">
        <v>22</v>
      </c>
      <c r="J218" s="4">
        <v>20000</v>
      </c>
    </row>
    <row r="219" spans="1:13" x14ac:dyDescent="0.2">
      <c r="A219" s="3">
        <v>86</v>
      </c>
      <c r="B219" s="3">
        <v>172</v>
      </c>
      <c r="C219" s="1">
        <v>45882</v>
      </c>
      <c r="D219" t="s">
        <v>224</v>
      </c>
      <c r="E219" t="s">
        <v>250</v>
      </c>
      <c r="F219" t="s">
        <v>187</v>
      </c>
      <c r="G219" t="s">
        <v>136</v>
      </c>
      <c r="H219" t="s">
        <v>21</v>
      </c>
      <c r="I219" t="s">
        <v>22</v>
      </c>
    </row>
    <row r="220" spans="1:13" x14ac:dyDescent="0.2">
      <c r="A220" s="3">
        <v>86</v>
      </c>
      <c r="M220" s="4">
        <v>150</v>
      </c>
    </row>
    <row r="221" spans="1:13" x14ac:dyDescent="0.2">
      <c r="A221" s="3">
        <v>87</v>
      </c>
      <c r="B221" s="3">
        <v>173</v>
      </c>
      <c r="C221" s="1">
        <v>45882</v>
      </c>
      <c r="D221" t="s">
        <v>251</v>
      </c>
      <c r="E221" t="s">
        <v>247</v>
      </c>
      <c r="F221" t="s">
        <v>248</v>
      </c>
      <c r="G221" t="s">
        <v>252</v>
      </c>
      <c r="H221" t="s">
        <v>21</v>
      </c>
      <c r="I221" t="s">
        <v>22</v>
      </c>
      <c r="J221" s="4">
        <v>10000</v>
      </c>
    </row>
    <row r="222" spans="1:13" x14ac:dyDescent="0.2">
      <c r="A222" s="3">
        <v>87</v>
      </c>
      <c r="M222" s="4">
        <v>150</v>
      </c>
    </row>
    <row r="223" spans="1:13" x14ac:dyDescent="0.2">
      <c r="A223" s="3">
        <v>88</v>
      </c>
      <c r="B223" s="3">
        <v>169</v>
      </c>
      <c r="C223" s="1">
        <v>45881</v>
      </c>
      <c r="D223" t="s">
        <v>253</v>
      </c>
      <c r="E223" t="s">
        <v>99</v>
      </c>
      <c r="F223" t="s">
        <v>254</v>
      </c>
      <c r="G223" t="s">
        <v>213</v>
      </c>
      <c r="H223" t="s">
        <v>21</v>
      </c>
      <c r="I223" t="s">
        <v>22</v>
      </c>
      <c r="J223" s="4">
        <v>152000</v>
      </c>
    </row>
    <row r="224" spans="1:13" x14ac:dyDescent="0.2">
      <c r="A224" s="3">
        <v>88</v>
      </c>
      <c r="B224" s="3">
        <v>170</v>
      </c>
      <c r="C224" s="1">
        <v>45881</v>
      </c>
      <c r="D224" t="s">
        <v>253</v>
      </c>
      <c r="E224" t="s">
        <v>99</v>
      </c>
      <c r="F224" t="s">
        <v>255</v>
      </c>
      <c r="G224" t="s">
        <v>136</v>
      </c>
      <c r="H224" t="s">
        <v>21</v>
      </c>
      <c r="I224" t="s">
        <v>22</v>
      </c>
    </row>
    <row r="225" spans="1:13" x14ac:dyDescent="0.2">
      <c r="A225" s="3">
        <v>88</v>
      </c>
      <c r="M225" s="4">
        <v>150</v>
      </c>
    </row>
    <row r="226" spans="1:13" x14ac:dyDescent="0.2">
      <c r="A226" s="3">
        <v>89</v>
      </c>
      <c r="B226" s="3">
        <v>174</v>
      </c>
      <c r="C226" s="1">
        <v>45888</v>
      </c>
      <c r="D226" t="s">
        <v>258</v>
      </c>
      <c r="E226" t="s">
        <v>99</v>
      </c>
      <c r="F226" t="s">
        <v>259</v>
      </c>
      <c r="G226" t="s">
        <v>136</v>
      </c>
      <c r="H226" t="s">
        <v>21</v>
      </c>
      <c r="I226" t="s">
        <v>22</v>
      </c>
      <c r="J226" s="4">
        <v>65000</v>
      </c>
    </row>
    <row r="227" spans="1:13" x14ac:dyDescent="0.2">
      <c r="A227" s="3">
        <v>89</v>
      </c>
      <c r="M227" s="4">
        <v>150</v>
      </c>
    </row>
    <row r="228" spans="1:13" x14ac:dyDescent="0.2">
      <c r="A228" s="3">
        <v>90</v>
      </c>
      <c r="B228" s="3">
        <v>175</v>
      </c>
      <c r="C228" s="1">
        <v>45891</v>
      </c>
      <c r="D228" t="s">
        <v>260</v>
      </c>
      <c r="E228" t="s">
        <v>41</v>
      </c>
      <c r="F228" t="s">
        <v>28</v>
      </c>
      <c r="G228" t="s">
        <v>77</v>
      </c>
      <c r="H228" t="s">
        <v>21</v>
      </c>
      <c r="I228" t="s">
        <v>22</v>
      </c>
      <c r="J228" s="4">
        <v>19000</v>
      </c>
    </row>
    <row r="229" spans="1:13" x14ac:dyDescent="0.2">
      <c r="A229" s="3">
        <v>90</v>
      </c>
      <c r="M229" s="4">
        <v>150</v>
      </c>
    </row>
    <row r="230" spans="1:13" x14ac:dyDescent="0.2">
      <c r="A230" s="3">
        <v>91</v>
      </c>
      <c r="B230" s="3">
        <v>176</v>
      </c>
      <c r="C230" s="1">
        <v>45892</v>
      </c>
      <c r="D230" t="s">
        <v>261</v>
      </c>
      <c r="E230" t="s">
        <v>20</v>
      </c>
      <c r="F230" t="s">
        <v>187</v>
      </c>
      <c r="G230" t="s">
        <v>39</v>
      </c>
      <c r="H230" t="s">
        <v>21</v>
      </c>
      <c r="I230" t="s">
        <v>22</v>
      </c>
      <c r="J230" s="4">
        <v>12500</v>
      </c>
    </row>
    <row r="231" spans="1:13" x14ac:dyDescent="0.2">
      <c r="A231" s="3">
        <v>91</v>
      </c>
      <c r="M231" s="4">
        <v>150</v>
      </c>
    </row>
    <row r="232" spans="1:13" x14ac:dyDescent="0.2">
      <c r="A232" s="3">
        <v>92</v>
      </c>
      <c r="B232" s="3">
        <v>177</v>
      </c>
      <c r="C232" s="1">
        <v>45897</v>
      </c>
      <c r="D232" t="s">
        <v>262</v>
      </c>
      <c r="E232" t="s">
        <v>19</v>
      </c>
      <c r="F232" t="s">
        <v>263</v>
      </c>
      <c r="G232" t="s">
        <v>30</v>
      </c>
      <c r="H232" t="s">
        <v>21</v>
      </c>
      <c r="I232" t="s">
        <v>22</v>
      </c>
      <c r="J232" s="4">
        <v>14000</v>
      </c>
    </row>
    <row r="233" spans="1:13" x14ac:dyDescent="0.2">
      <c r="A233" s="3">
        <v>92</v>
      </c>
      <c r="M233" s="4">
        <v>150</v>
      </c>
    </row>
    <row r="234" spans="1:13" x14ac:dyDescent="0.2">
      <c r="A234" s="3">
        <v>93</v>
      </c>
      <c r="B234" s="3">
        <v>179</v>
      </c>
      <c r="C234" s="1">
        <v>45898</v>
      </c>
      <c r="D234" t="s">
        <v>256</v>
      </c>
      <c r="E234" t="s">
        <v>99</v>
      </c>
      <c r="F234" t="s">
        <v>240</v>
      </c>
      <c r="G234" t="s">
        <v>136</v>
      </c>
      <c r="H234" t="s">
        <v>21</v>
      </c>
      <c r="I234" t="s">
        <v>22</v>
      </c>
      <c r="J234" s="4">
        <v>82000</v>
      </c>
    </row>
    <row r="235" spans="1:13" x14ac:dyDescent="0.2">
      <c r="A235" s="3">
        <v>93</v>
      </c>
      <c r="K235" t="s">
        <v>257</v>
      </c>
      <c r="L235" s="4">
        <v>15000</v>
      </c>
    </row>
    <row r="236" spans="1:13" x14ac:dyDescent="0.2">
      <c r="A236" s="3">
        <v>93</v>
      </c>
      <c r="M236" s="4">
        <v>150</v>
      </c>
    </row>
    <row r="237" spans="1:13" x14ac:dyDescent="0.2">
      <c r="A237" s="3">
        <v>94</v>
      </c>
      <c r="B237" s="3">
        <v>178</v>
      </c>
      <c r="C237" s="1">
        <v>45898</v>
      </c>
      <c r="D237" t="s">
        <v>264</v>
      </c>
      <c r="E237" t="s">
        <v>265</v>
      </c>
      <c r="F237" t="s">
        <v>250</v>
      </c>
      <c r="G237" t="s">
        <v>39</v>
      </c>
      <c r="H237" t="s">
        <v>21</v>
      </c>
      <c r="I237" t="s">
        <v>22</v>
      </c>
      <c r="J237" s="4">
        <v>8000</v>
      </c>
    </row>
    <row r="238" spans="1:13" x14ac:dyDescent="0.2">
      <c r="A238" s="3">
        <v>94</v>
      </c>
      <c r="B238" s="3">
        <v>180</v>
      </c>
      <c r="C238" s="1">
        <v>45899</v>
      </c>
      <c r="D238" t="s">
        <v>264</v>
      </c>
      <c r="E238" t="s">
        <v>250</v>
      </c>
      <c r="F238" t="s">
        <v>266</v>
      </c>
      <c r="G238" t="s">
        <v>39</v>
      </c>
      <c r="H238" t="s">
        <v>21</v>
      </c>
      <c r="I238" t="s">
        <v>22</v>
      </c>
      <c r="J238" s="4">
        <v>1500</v>
      </c>
    </row>
    <row r="239" spans="1:13" x14ac:dyDescent="0.2">
      <c r="A239" s="3">
        <v>94</v>
      </c>
      <c r="M239" s="4">
        <v>150</v>
      </c>
    </row>
    <row r="240" spans="1:13" x14ac:dyDescent="0.2">
      <c r="A240" s="3">
        <v>95</v>
      </c>
      <c r="B240" s="3">
        <v>181</v>
      </c>
      <c r="C240" s="1">
        <v>45901</v>
      </c>
      <c r="D240" t="s">
        <v>267</v>
      </c>
      <c r="E240" t="s">
        <v>268</v>
      </c>
      <c r="F240" t="s">
        <v>250</v>
      </c>
      <c r="G240" t="s">
        <v>136</v>
      </c>
      <c r="H240" t="s">
        <v>21</v>
      </c>
      <c r="I240" t="s">
        <v>22</v>
      </c>
      <c r="J240" s="4">
        <v>19000</v>
      </c>
    </row>
    <row r="241" spans="1:13" x14ac:dyDescent="0.2">
      <c r="A241" s="3">
        <v>95</v>
      </c>
      <c r="C241" s="1">
        <v>45902</v>
      </c>
      <c r="D241" t="s">
        <v>267</v>
      </c>
      <c r="E241" t="s">
        <v>268</v>
      </c>
      <c r="F241" t="s">
        <v>250</v>
      </c>
      <c r="G241" t="s">
        <v>136</v>
      </c>
      <c r="H241" t="s">
        <v>21</v>
      </c>
      <c r="I241" t="s">
        <v>22</v>
      </c>
    </row>
    <row r="242" spans="1:13" x14ac:dyDescent="0.2">
      <c r="A242" s="3">
        <v>95</v>
      </c>
      <c r="K242" t="s">
        <v>85</v>
      </c>
      <c r="L242" s="4">
        <v>2000</v>
      </c>
    </row>
    <row r="243" spans="1:13" x14ac:dyDescent="0.2">
      <c r="A243" s="3">
        <v>95</v>
      </c>
      <c r="M243" s="4">
        <v>150</v>
      </c>
    </row>
    <row r="244" spans="1:13" x14ac:dyDescent="0.2">
      <c r="A244" s="3">
        <v>96</v>
      </c>
      <c r="B244" s="3">
        <v>182</v>
      </c>
      <c r="C244" s="1">
        <v>45903</v>
      </c>
      <c r="D244" t="s">
        <v>269</v>
      </c>
      <c r="E244" t="s">
        <v>187</v>
      </c>
      <c r="F244" t="s">
        <v>29</v>
      </c>
      <c r="G244" t="s">
        <v>270</v>
      </c>
      <c r="H244" t="s">
        <v>21</v>
      </c>
      <c r="I244" t="s">
        <v>22</v>
      </c>
      <c r="J244" s="4">
        <v>24000</v>
      </c>
    </row>
    <row r="245" spans="1:13" x14ac:dyDescent="0.2">
      <c r="A245" s="3">
        <v>96</v>
      </c>
      <c r="M245" s="4">
        <v>150</v>
      </c>
    </row>
    <row r="246" spans="1:13" x14ac:dyDescent="0.2">
      <c r="A246" s="3">
        <v>97</v>
      </c>
      <c r="B246" s="3">
        <v>183</v>
      </c>
      <c r="C246" s="1">
        <v>45903</v>
      </c>
      <c r="D246" t="s">
        <v>271</v>
      </c>
      <c r="E246" t="s">
        <v>187</v>
      </c>
      <c r="F246" t="s">
        <v>272</v>
      </c>
      <c r="G246" t="s">
        <v>39</v>
      </c>
      <c r="H246" t="s">
        <v>21</v>
      </c>
      <c r="I246" t="s">
        <v>22</v>
      </c>
      <c r="J246" s="4">
        <v>30000</v>
      </c>
    </row>
    <row r="247" spans="1:13" x14ac:dyDescent="0.2">
      <c r="A247" s="3">
        <v>97</v>
      </c>
      <c r="B247" s="3">
        <v>184</v>
      </c>
      <c r="C247" s="1">
        <v>45904</v>
      </c>
      <c r="D247" t="s">
        <v>271</v>
      </c>
      <c r="E247" t="s">
        <v>272</v>
      </c>
      <c r="F247" t="s">
        <v>273</v>
      </c>
      <c r="G247" t="s">
        <v>39</v>
      </c>
      <c r="H247" t="s">
        <v>21</v>
      </c>
      <c r="I247" t="s">
        <v>22</v>
      </c>
    </row>
    <row r="248" spans="1:13" x14ac:dyDescent="0.2">
      <c r="A248" s="3">
        <v>97</v>
      </c>
      <c r="M248" s="4">
        <v>150</v>
      </c>
    </row>
    <row r="249" spans="1:13" x14ac:dyDescent="0.2">
      <c r="A249" s="3">
        <v>98</v>
      </c>
      <c r="B249" s="3">
        <v>185</v>
      </c>
      <c r="C249" s="1">
        <v>45904</v>
      </c>
      <c r="D249" t="s">
        <v>264</v>
      </c>
      <c r="E249" t="s">
        <v>250</v>
      </c>
      <c r="F249" t="s">
        <v>187</v>
      </c>
      <c r="G249" t="s">
        <v>136</v>
      </c>
      <c r="H249" t="s">
        <v>21</v>
      </c>
      <c r="I249" t="s">
        <v>22</v>
      </c>
      <c r="J249" s="4">
        <v>8000</v>
      </c>
    </row>
    <row r="250" spans="1:13" x14ac:dyDescent="0.2">
      <c r="A250" s="3">
        <v>98</v>
      </c>
      <c r="K250" t="s">
        <v>274</v>
      </c>
      <c r="L250" s="4">
        <v>2000</v>
      </c>
    </row>
    <row r="251" spans="1:13" x14ac:dyDescent="0.2">
      <c r="A251" s="3">
        <v>98</v>
      </c>
      <c r="M251" s="4">
        <v>150</v>
      </c>
    </row>
    <row r="252" spans="1:13" x14ac:dyDescent="0.2">
      <c r="A252" s="3">
        <v>99</v>
      </c>
      <c r="B252" s="3">
        <v>186</v>
      </c>
      <c r="C252" s="1">
        <v>45905</v>
      </c>
      <c r="D252" t="s">
        <v>264</v>
      </c>
      <c r="E252" t="s">
        <v>275</v>
      </c>
      <c r="F252" t="s">
        <v>187</v>
      </c>
      <c r="G252" t="s">
        <v>30</v>
      </c>
      <c r="H252" t="s">
        <v>21</v>
      </c>
      <c r="I252" t="s">
        <v>22</v>
      </c>
      <c r="J252" s="4">
        <v>4000</v>
      </c>
    </row>
    <row r="253" spans="1:13" x14ac:dyDescent="0.2">
      <c r="A253" s="3">
        <v>99</v>
      </c>
      <c r="M253" s="4">
        <v>150</v>
      </c>
    </row>
    <row r="254" spans="1:13" x14ac:dyDescent="0.2">
      <c r="A254" s="3">
        <v>100</v>
      </c>
      <c r="B254" s="3">
        <v>187</v>
      </c>
      <c r="C254" s="1">
        <v>45906</v>
      </c>
      <c r="D254" t="s">
        <v>276</v>
      </c>
      <c r="E254" t="s">
        <v>277</v>
      </c>
      <c r="F254" t="s">
        <v>187</v>
      </c>
      <c r="G254" t="s">
        <v>39</v>
      </c>
      <c r="H254" t="s">
        <v>21</v>
      </c>
      <c r="I254" t="s">
        <v>22</v>
      </c>
      <c r="J254" s="4">
        <v>15000</v>
      </c>
    </row>
    <row r="255" spans="1:13" x14ac:dyDescent="0.2">
      <c r="A255" s="3">
        <v>100</v>
      </c>
      <c r="M255" s="4">
        <v>150</v>
      </c>
    </row>
    <row r="256" spans="1:13" x14ac:dyDescent="0.2">
      <c r="A256" s="3">
        <v>101</v>
      </c>
      <c r="B256" s="3">
        <v>188</v>
      </c>
      <c r="C256" s="1">
        <v>45912</v>
      </c>
      <c r="D256" t="s">
        <v>278</v>
      </c>
      <c r="E256" t="s">
        <v>187</v>
      </c>
      <c r="F256" t="s">
        <v>189</v>
      </c>
      <c r="G256" t="s">
        <v>39</v>
      </c>
      <c r="H256" t="s">
        <v>21</v>
      </c>
      <c r="I256" t="s">
        <v>22</v>
      </c>
      <c r="J256" s="4">
        <v>48000</v>
      </c>
    </row>
    <row r="257" spans="1:13" x14ac:dyDescent="0.2">
      <c r="A257" s="3">
        <v>101</v>
      </c>
      <c r="M257" s="4">
        <v>150</v>
      </c>
    </row>
    <row r="258" spans="1:13" x14ac:dyDescent="0.2">
      <c r="A258" s="3">
        <v>102</v>
      </c>
      <c r="B258" s="3">
        <v>189</v>
      </c>
      <c r="C258" s="1">
        <v>45911</v>
      </c>
      <c r="D258" t="s">
        <v>279</v>
      </c>
      <c r="E258" t="s">
        <v>79</v>
      </c>
      <c r="F258" t="s">
        <v>280</v>
      </c>
      <c r="G258" t="s">
        <v>281</v>
      </c>
      <c r="H258" t="s">
        <v>21</v>
      </c>
      <c r="I258" t="s">
        <v>22</v>
      </c>
      <c r="J258" s="4">
        <v>85000</v>
      </c>
    </row>
    <row r="259" spans="1:13" x14ac:dyDescent="0.2">
      <c r="A259" s="3">
        <v>102</v>
      </c>
      <c r="B259" s="3">
        <v>190</v>
      </c>
      <c r="C259" s="1">
        <v>45911</v>
      </c>
      <c r="D259" t="s">
        <v>279</v>
      </c>
      <c r="E259" t="s">
        <v>79</v>
      </c>
      <c r="F259" t="s">
        <v>41</v>
      </c>
      <c r="G259" t="s">
        <v>281</v>
      </c>
      <c r="H259" t="s">
        <v>21</v>
      </c>
      <c r="I259" t="s">
        <v>22</v>
      </c>
    </row>
    <row r="260" spans="1:13" x14ac:dyDescent="0.2">
      <c r="A260" s="3">
        <v>102</v>
      </c>
      <c r="B260" s="3">
        <v>191</v>
      </c>
      <c r="C260" s="1">
        <v>45911</v>
      </c>
      <c r="D260" t="s">
        <v>279</v>
      </c>
      <c r="E260" t="s">
        <v>79</v>
      </c>
      <c r="F260" t="s">
        <v>282</v>
      </c>
      <c r="G260" t="s">
        <v>281</v>
      </c>
      <c r="H260" t="s">
        <v>21</v>
      </c>
      <c r="I260" t="s">
        <v>22</v>
      </c>
    </row>
    <row r="261" spans="1:13" x14ac:dyDescent="0.2">
      <c r="A261" s="3">
        <v>102</v>
      </c>
      <c r="B261" s="3">
        <v>192</v>
      </c>
      <c r="C261" s="1">
        <v>45911</v>
      </c>
      <c r="D261" t="s">
        <v>279</v>
      </c>
      <c r="E261" t="s">
        <v>79</v>
      </c>
      <c r="F261" t="s">
        <v>283</v>
      </c>
      <c r="G261" t="s">
        <v>281</v>
      </c>
      <c r="H261" t="s">
        <v>21</v>
      </c>
      <c r="I261" t="s">
        <v>22</v>
      </c>
    </row>
    <row r="262" spans="1:13" x14ac:dyDescent="0.2">
      <c r="A262" s="3">
        <v>102</v>
      </c>
      <c r="B262" s="3">
        <v>193</v>
      </c>
      <c r="C262" s="1">
        <v>45916</v>
      </c>
      <c r="D262" t="s">
        <v>279</v>
      </c>
      <c r="E262" t="s">
        <v>79</v>
      </c>
      <c r="F262" t="s">
        <v>280</v>
      </c>
      <c r="G262" t="s">
        <v>281</v>
      </c>
      <c r="H262" t="s">
        <v>21</v>
      </c>
      <c r="I262" t="s">
        <v>22</v>
      </c>
    </row>
    <row r="263" spans="1:13" x14ac:dyDescent="0.2">
      <c r="A263" s="3">
        <v>102</v>
      </c>
      <c r="B263" s="3">
        <v>194</v>
      </c>
      <c r="C263" s="1">
        <v>45916</v>
      </c>
      <c r="D263" t="s">
        <v>279</v>
      </c>
      <c r="E263" t="s">
        <v>79</v>
      </c>
      <c r="F263" t="s">
        <v>318</v>
      </c>
      <c r="G263" t="s">
        <v>281</v>
      </c>
      <c r="H263" t="s">
        <v>21</v>
      </c>
      <c r="I263" t="s">
        <v>22</v>
      </c>
    </row>
    <row r="264" spans="1:13" x14ac:dyDescent="0.2">
      <c r="A264" s="3">
        <v>102</v>
      </c>
      <c r="M264" s="4">
        <v>150</v>
      </c>
    </row>
    <row r="265" spans="1:13" x14ac:dyDescent="0.2">
      <c r="A265">
        <v>103</v>
      </c>
      <c r="B265">
        <v>196</v>
      </c>
      <c r="C265" s="1" t="s">
        <v>284</v>
      </c>
      <c r="D265" t="s">
        <v>285</v>
      </c>
      <c r="E265" t="s">
        <v>286</v>
      </c>
      <c r="F265" t="s">
        <v>319</v>
      </c>
      <c r="G265" t="s">
        <v>287</v>
      </c>
      <c r="H265" t="s">
        <v>21</v>
      </c>
      <c r="I265" t="s">
        <v>22</v>
      </c>
      <c r="J265" s="28">
        <v>8000</v>
      </c>
      <c r="K265" t="s">
        <v>288</v>
      </c>
      <c r="L265" s="4" t="s">
        <v>288</v>
      </c>
      <c r="M265" s="4" t="s">
        <v>288</v>
      </c>
    </row>
    <row r="266" spans="1:13" x14ac:dyDescent="0.2">
      <c r="A266">
        <v>103</v>
      </c>
      <c r="B266" s="3" t="s">
        <v>288</v>
      </c>
      <c r="C266" s="1" t="s">
        <v>288</v>
      </c>
      <c r="D266" t="s">
        <v>288</v>
      </c>
      <c r="E266" t="s">
        <v>288</v>
      </c>
      <c r="F266" t="s">
        <v>288</v>
      </c>
      <c r="G266" t="s">
        <v>288</v>
      </c>
      <c r="H266" t="s">
        <v>288</v>
      </c>
      <c r="I266" t="s">
        <v>288</v>
      </c>
      <c r="J266" s="4" t="s">
        <v>288</v>
      </c>
      <c r="K266" t="s">
        <v>288</v>
      </c>
      <c r="L266" s="4" t="s">
        <v>288</v>
      </c>
      <c r="M266" s="28">
        <v>150</v>
      </c>
    </row>
    <row r="267" spans="1:13" x14ac:dyDescent="0.2">
      <c r="A267">
        <v>104</v>
      </c>
      <c r="B267">
        <v>197</v>
      </c>
      <c r="C267" s="1" t="s">
        <v>284</v>
      </c>
      <c r="D267" t="s">
        <v>295</v>
      </c>
      <c r="E267" t="s">
        <v>99</v>
      </c>
      <c r="F267" t="s">
        <v>320</v>
      </c>
      <c r="G267" t="s">
        <v>289</v>
      </c>
      <c r="H267" t="s">
        <v>21</v>
      </c>
      <c r="I267" t="s">
        <v>22</v>
      </c>
      <c r="J267" s="28">
        <v>78000</v>
      </c>
      <c r="K267" t="s">
        <v>288</v>
      </c>
      <c r="L267" s="4" t="s">
        <v>288</v>
      </c>
      <c r="M267" s="4" t="s">
        <v>288</v>
      </c>
    </row>
    <row r="268" spans="1:13" x14ac:dyDescent="0.2">
      <c r="A268">
        <v>104</v>
      </c>
      <c r="B268" s="3" t="s">
        <v>288</v>
      </c>
      <c r="C268" s="1" t="s">
        <v>288</v>
      </c>
      <c r="D268" t="s">
        <v>288</v>
      </c>
      <c r="E268" t="s">
        <v>288</v>
      </c>
      <c r="F268" t="s">
        <v>288</v>
      </c>
      <c r="G268" t="s">
        <v>288</v>
      </c>
      <c r="H268" t="s">
        <v>288</v>
      </c>
      <c r="I268" t="s">
        <v>288</v>
      </c>
      <c r="J268" s="4" t="s">
        <v>288</v>
      </c>
      <c r="K268" t="s">
        <v>288</v>
      </c>
      <c r="L268" s="4" t="s">
        <v>288</v>
      </c>
      <c r="M268" s="28">
        <v>150</v>
      </c>
    </row>
    <row r="269" spans="1:13" x14ac:dyDescent="0.2">
      <c r="A269">
        <v>105</v>
      </c>
      <c r="B269">
        <v>198</v>
      </c>
      <c r="C269" s="1" t="s">
        <v>290</v>
      </c>
      <c r="D269" t="s">
        <v>291</v>
      </c>
      <c r="E269" t="s">
        <v>292</v>
      </c>
      <c r="F269" t="s">
        <v>293</v>
      </c>
      <c r="G269" t="s">
        <v>294</v>
      </c>
      <c r="H269" t="s">
        <v>21</v>
      </c>
      <c r="I269" t="s">
        <v>22</v>
      </c>
      <c r="J269" s="28">
        <v>25000</v>
      </c>
      <c r="K269" t="s">
        <v>288</v>
      </c>
      <c r="L269" s="4" t="s">
        <v>288</v>
      </c>
      <c r="M269" s="4" t="s">
        <v>288</v>
      </c>
    </row>
    <row r="270" spans="1:13" x14ac:dyDescent="0.2">
      <c r="A270">
        <v>105</v>
      </c>
      <c r="B270" s="3" t="s">
        <v>288</v>
      </c>
      <c r="C270" s="1" t="s">
        <v>288</v>
      </c>
      <c r="D270" t="s">
        <v>288</v>
      </c>
      <c r="E270" t="s">
        <v>288</v>
      </c>
      <c r="F270" t="s">
        <v>288</v>
      </c>
      <c r="G270" t="s">
        <v>288</v>
      </c>
      <c r="H270" t="s">
        <v>288</v>
      </c>
      <c r="I270" t="s">
        <v>288</v>
      </c>
      <c r="J270" s="4" t="s">
        <v>288</v>
      </c>
      <c r="L270" s="4" t="s">
        <v>288</v>
      </c>
      <c r="M270" s="28">
        <v>150</v>
      </c>
    </row>
    <row r="271" spans="1:13" x14ac:dyDescent="0.2">
      <c r="A271" s="3">
        <v>106</v>
      </c>
      <c r="B271" s="3">
        <v>199</v>
      </c>
      <c r="C271" s="1">
        <v>45926</v>
      </c>
      <c r="D271" t="s">
        <v>296</v>
      </c>
      <c r="E271" t="s">
        <v>297</v>
      </c>
      <c r="F271" t="s">
        <v>41</v>
      </c>
      <c r="G271" t="s">
        <v>39</v>
      </c>
      <c r="H271" t="s">
        <v>21</v>
      </c>
      <c r="I271" t="s">
        <v>22</v>
      </c>
      <c r="J271" s="4">
        <v>25000</v>
      </c>
    </row>
    <row r="272" spans="1:13" x14ac:dyDescent="0.2">
      <c r="A272" s="3">
        <v>106</v>
      </c>
      <c r="M272" s="4">
        <v>150</v>
      </c>
    </row>
    <row r="273" spans="1:13" x14ac:dyDescent="0.2">
      <c r="A273" s="3">
        <v>107</v>
      </c>
      <c r="B273" s="3">
        <v>201</v>
      </c>
      <c r="C273" s="1">
        <v>45926</v>
      </c>
      <c r="D273" t="s">
        <v>298</v>
      </c>
      <c r="E273" t="s">
        <v>391</v>
      </c>
      <c r="F273" t="s">
        <v>124</v>
      </c>
      <c r="G273" t="s">
        <v>309</v>
      </c>
      <c r="H273" t="s">
        <v>299</v>
      </c>
      <c r="J273" s="4">
        <v>7020</v>
      </c>
    </row>
    <row r="274" spans="1:13" x14ac:dyDescent="0.2">
      <c r="A274" s="3">
        <v>107</v>
      </c>
      <c r="B274" s="3">
        <v>202</v>
      </c>
      <c r="C274" s="1">
        <v>45928</v>
      </c>
      <c r="D274" t="s">
        <v>298</v>
      </c>
      <c r="E274" t="s">
        <v>391</v>
      </c>
      <c r="F274" t="s">
        <v>124</v>
      </c>
      <c r="G274" t="s">
        <v>309</v>
      </c>
      <c r="H274" t="s">
        <v>300</v>
      </c>
      <c r="J274" s="4">
        <v>6806</v>
      </c>
    </row>
    <row r="275" spans="1:13" x14ac:dyDescent="0.2">
      <c r="A275" s="3">
        <v>108</v>
      </c>
      <c r="B275" s="3">
        <v>301</v>
      </c>
      <c r="C275" s="1">
        <v>45929</v>
      </c>
      <c r="D275" t="s">
        <v>301</v>
      </c>
      <c r="E275" t="s">
        <v>302</v>
      </c>
      <c r="F275" t="s">
        <v>303</v>
      </c>
      <c r="G275" t="s">
        <v>136</v>
      </c>
      <c r="H275" t="s">
        <v>21</v>
      </c>
      <c r="I275" t="s">
        <v>22</v>
      </c>
      <c r="J275" s="4">
        <v>12000</v>
      </c>
    </row>
    <row r="276" spans="1:13" x14ac:dyDescent="0.2">
      <c r="A276" s="3">
        <v>108</v>
      </c>
      <c r="B276" s="3">
        <v>302</v>
      </c>
      <c r="C276" s="1">
        <v>45929</v>
      </c>
      <c r="D276" t="s">
        <v>304</v>
      </c>
      <c r="E276" t="s">
        <v>302</v>
      </c>
      <c r="F276" t="s">
        <v>19</v>
      </c>
      <c r="G276" t="s">
        <v>136</v>
      </c>
      <c r="H276" t="s">
        <v>21</v>
      </c>
      <c r="I276" t="s">
        <v>22</v>
      </c>
    </row>
    <row r="277" spans="1:13" x14ac:dyDescent="0.2">
      <c r="A277" s="3">
        <v>108</v>
      </c>
      <c r="M277" s="4">
        <v>150</v>
      </c>
    </row>
    <row r="278" spans="1:13" x14ac:dyDescent="0.2">
      <c r="A278" s="3">
        <v>109</v>
      </c>
      <c r="B278" s="3">
        <v>303</v>
      </c>
      <c r="C278" s="1">
        <v>45929</v>
      </c>
      <c r="D278" t="s">
        <v>305</v>
      </c>
      <c r="E278" t="s">
        <v>302</v>
      </c>
      <c r="F278" t="s">
        <v>210</v>
      </c>
      <c r="G278" t="s">
        <v>39</v>
      </c>
      <c r="H278" t="s">
        <v>21</v>
      </c>
      <c r="I278" t="s">
        <v>22</v>
      </c>
      <c r="J278" s="4">
        <v>23000</v>
      </c>
    </row>
    <row r="279" spans="1:13" x14ac:dyDescent="0.2">
      <c r="A279" s="3">
        <v>109</v>
      </c>
      <c r="B279" s="3">
        <v>304</v>
      </c>
      <c r="C279" s="1">
        <v>45929</v>
      </c>
      <c r="D279" t="s">
        <v>305</v>
      </c>
      <c r="E279" t="s">
        <v>302</v>
      </c>
      <c r="F279" t="s">
        <v>210</v>
      </c>
      <c r="G279" t="s">
        <v>39</v>
      </c>
      <c r="H279" t="s">
        <v>21</v>
      </c>
      <c r="I279" t="s">
        <v>22</v>
      </c>
    </row>
    <row r="280" spans="1:13" x14ac:dyDescent="0.2">
      <c r="A280" s="3">
        <v>109</v>
      </c>
      <c r="K280" t="s">
        <v>314</v>
      </c>
      <c r="L280" s="4">
        <v>2000</v>
      </c>
    </row>
    <row r="281" spans="1:13" x14ac:dyDescent="0.2">
      <c r="A281" s="3">
        <v>109</v>
      </c>
      <c r="M281" s="4">
        <v>150</v>
      </c>
    </row>
    <row r="282" spans="1:13" x14ac:dyDescent="0.2">
      <c r="A282" s="3">
        <v>110</v>
      </c>
      <c r="B282" s="3">
        <v>200</v>
      </c>
      <c r="C282" s="1">
        <v>45930</v>
      </c>
      <c r="D282" t="s">
        <v>306</v>
      </c>
      <c r="E282" t="s">
        <v>41</v>
      </c>
      <c r="F282" t="s">
        <v>307</v>
      </c>
      <c r="G282" t="s">
        <v>308</v>
      </c>
      <c r="H282" t="s">
        <v>21</v>
      </c>
      <c r="I282" t="s">
        <v>22</v>
      </c>
      <c r="J282" s="4">
        <v>11000</v>
      </c>
    </row>
    <row r="283" spans="1:13" x14ac:dyDescent="0.2">
      <c r="A283" s="3">
        <v>110</v>
      </c>
      <c r="M283" s="4">
        <v>150</v>
      </c>
    </row>
    <row r="284" spans="1:13" x14ac:dyDescent="0.2">
      <c r="A284" s="3">
        <v>111</v>
      </c>
      <c r="B284" s="3">
        <v>203</v>
      </c>
      <c r="C284" s="1">
        <v>45930</v>
      </c>
      <c r="D284" t="s">
        <v>298</v>
      </c>
      <c r="E284" t="s">
        <v>391</v>
      </c>
      <c r="F284" t="s">
        <v>124</v>
      </c>
      <c r="G284" t="s">
        <v>309</v>
      </c>
      <c r="H284" t="s">
        <v>310</v>
      </c>
      <c r="J284" s="4">
        <v>6602</v>
      </c>
    </row>
    <row r="285" spans="1:13" x14ac:dyDescent="0.2">
      <c r="A285" s="3">
        <v>112</v>
      </c>
      <c r="B285" s="3">
        <v>305</v>
      </c>
      <c r="C285" s="1">
        <v>45934</v>
      </c>
      <c r="D285" t="s">
        <v>321</v>
      </c>
      <c r="E285" t="s">
        <v>41</v>
      </c>
      <c r="F285" t="s">
        <v>322</v>
      </c>
      <c r="G285" t="s">
        <v>77</v>
      </c>
      <c r="H285" t="s">
        <v>21</v>
      </c>
      <c r="I285" t="s">
        <v>22</v>
      </c>
      <c r="J285" s="4">
        <v>2500</v>
      </c>
    </row>
    <row r="286" spans="1:13" x14ac:dyDescent="0.2">
      <c r="A286" s="3">
        <v>113</v>
      </c>
      <c r="B286" s="3">
        <v>204</v>
      </c>
      <c r="C286" s="1">
        <v>45936</v>
      </c>
      <c r="D286" t="s">
        <v>298</v>
      </c>
      <c r="E286" t="s">
        <v>391</v>
      </c>
      <c r="F286" t="s">
        <v>326</v>
      </c>
      <c r="G286" t="s">
        <v>309</v>
      </c>
      <c r="H286" t="s">
        <v>327</v>
      </c>
      <c r="J286" s="4">
        <v>7038</v>
      </c>
    </row>
    <row r="287" spans="1:13" x14ac:dyDescent="0.2">
      <c r="A287" s="3">
        <v>113</v>
      </c>
      <c r="B287" s="3">
        <v>205</v>
      </c>
      <c r="C287" s="1">
        <v>45938</v>
      </c>
      <c r="D287" t="s">
        <v>298</v>
      </c>
      <c r="E287" t="s">
        <v>391</v>
      </c>
      <c r="F287" t="s">
        <v>326</v>
      </c>
      <c r="G287" t="s">
        <v>309</v>
      </c>
      <c r="H287" t="s">
        <v>328</v>
      </c>
      <c r="J287" s="4">
        <v>6047</v>
      </c>
    </row>
    <row r="288" spans="1:13" x14ac:dyDescent="0.2">
      <c r="A288" s="3">
        <v>114</v>
      </c>
      <c r="B288" s="3">
        <v>306</v>
      </c>
      <c r="C288" s="1">
        <v>45939</v>
      </c>
      <c r="D288" t="s">
        <v>329</v>
      </c>
      <c r="E288" t="s">
        <v>28</v>
      </c>
      <c r="F288" t="s">
        <v>330</v>
      </c>
      <c r="G288" t="s">
        <v>199</v>
      </c>
      <c r="H288" t="s">
        <v>21</v>
      </c>
      <c r="I288" t="s">
        <v>22</v>
      </c>
      <c r="J288" s="4">
        <v>18000</v>
      </c>
    </row>
    <row r="289" spans="1:13" x14ac:dyDescent="0.2">
      <c r="A289" s="3">
        <v>114</v>
      </c>
      <c r="M289" s="4">
        <v>150</v>
      </c>
    </row>
    <row r="290" spans="1:13" x14ac:dyDescent="0.2">
      <c r="A290" s="3">
        <v>115</v>
      </c>
      <c r="B290" s="3">
        <v>307</v>
      </c>
      <c r="C290" s="1">
        <v>45940</v>
      </c>
      <c r="D290" t="s">
        <v>331</v>
      </c>
      <c r="E290" t="s">
        <v>158</v>
      </c>
      <c r="F290" t="s">
        <v>41</v>
      </c>
      <c r="G290" t="s">
        <v>39</v>
      </c>
      <c r="H290" t="s">
        <v>21</v>
      </c>
      <c r="I290" t="s">
        <v>22</v>
      </c>
      <c r="J290" s="4">
        <v>14000</v>
      </c>
    </row>
    <row r="291" spans="1:13" x14ac:dyDescent="0.2">
      <c r="A291" s="3">
        <v>115</v>
      </c>
      <c r="M291" s="4">
        <v>150</v>
      </c>
    </row>
    <row r="292" spans="1:13" x14ac:dyDescent="0.2">
      <c r="A292" s="3">
        <v>116</v>
      </c>
      <c r="B292" s="3">
        <v>308</v>
      </c>
      <c r="C292" s="1">
        <v>45940</v>
      </c>
      <c r="D292" t="s">
        <v>332</v>
      </c>
      <c r="E292" t="s">
        <v>105</v>
      </c>
      <c r="F292" t="s">
        <v>333</v>
      </c>
      <c r="G292" t="s">
        <v>294</v>
      </c>
      <c r="H292" t="s">
        <v>21</v>
      </c>
      <c r="I292" t="s">
        <v>22</v>
      </c>
      <c r="J292" s="4">
        <v>30000</v>
      </c>
    </row>
    <row r="293" spans="1:13" x14ac:dyDescent="0.2">
      <c r="A293" s="3">
        <v>116</v>
      </c>
      <c r="M293" s="4">
        <v>150</v>
      </c>
    </row>
    <row r="294" spans="1:13" x14ac:dyDescent="0.2">
      <c r="A294" s="3">
        <v>117</v>
      </c>
      <c r="B294" s="3">
        <v>310</v>
      </c>
      <c r="C294" s="1">
        <v>45943</v>
      </c>
      <c r="D294" t="s">
        <v>334</v>
      </c>
      <c r="E294" t="s">
        <v>28</v>
      </c>
      <c r="F294" t="s">
        <v>97</v>
      </c>
      <c r="G294" t="s">
        <v>30</v>
      </c>
      <c r="H294" t="s">
        <v>21</v>
      </c>
      <c r="I294" t="s">
        <v>22</v>
      </c>
      <c r="J294" s="4">
        <v>10000</v>
      </c>
    </row>
    <row r="295" spans="1:13" x14ac:dyDescent="0.2">
      <c r="A295" s="3">
        <v>117</v>
      </c>
      <c r="M295" s="4">
        <v>150</v>
      </c>
    </row>
    <row r="296" spans="1:13" x14ac:dyDescent="0.2">
      <c r="A296" s="3">
        <v>118</v>
      </c>
      <c r="B296" s="3">
        <v>309</v>
      </c>
      <c r="C296" s="1">
        <v>45945</v>
      </c>
      <c r="D296" t="s">
        <v>335</v>
      </c>
      <c r="E296" t="s">
        <v>28</v>
      </c>
      <c r="F296" t="s">
        <v>99</v>
      </c>
      <c r="G296" t="s">
        <v>39</v>
      </c>
      <c r="H296" t="s">
        <v>21</v>
      </c>
      <c r="I296" t="s">
        <v>22</v>
      </c>
      <c r="J296" s="4">
        <v>30000</v>
      </c>
    </row>
    <row r="297" spans="1:13" x14ac:dyDescent="0.2">
      <c r="A297" s="3">
        <v>118</v>
      </c>
      <c r="M297" s="4">
        <v>150</v>
      </c>
    </row>
    <row r="298" spans="1:13" x14ac:dyDescent="0.2">
      <c r="A298" s="3">
        <v>119</v>
      </c>
      <c r="B298" s="3">
        <v>206</v>
      </c>
      <c r="C298" s="1">
        <v>45940</v>
      </c>
      <c r="D298" t="s">
        <v>298</v>
      </c>
      <c r="E298" t="s">
        <v>391</v>
      </c>
      <c r="F298" t="s">
        <v>124</v>
      </c>
      <c r="G298" t="s">
        <v>309</v>
      </c>
      <c r="H298" t="s">
        <v>336</v>
      </c>
      <c r="J298" s="4">
        <v>6753</v>
      </c>
    </row>
    <row r="299" spans="1:13" x14ac:dyDescent="0.2">
      <c r="A299" s="3">
        <v>119</v>
      </c>
      <c r="B299" s="3">
        <v>207</v>
      </c>
      <c r="C299" s="1">
        <v>45941</v>
      </c>
      <c r="D299" t="s">
        <v>337</v>
      </c>
      <c r="E299" t="s">
        <v>391</v>
      </c>
      <c r="F299" t="s">
        <v>124</v>
      </c>
      <c r="G299" t="s">
        <v>309</v>
      </c>
      <c r="H299" t="s">
        <v>339</v>
      </c>
      <c r="J299" s="4">
        <v>6367</v>
      </c>
    </row>
    <row r="300" spans="1:13" x14ac:dyDescent="0.2">
      <c r="A300" s="3">
        <v>119</v>
      </c>
      <c r="B300" s="3">
        <v>209</v>
      </c>
      <c r="C300" s="1">
        <v>45946</v>
      </c>
      <c r="D300" t="s">
        <v>298</v>
      </c>
      <c r="E300" t="s">
        <v>391</v>
      </c>
      <c r="F300" t="s">
        <v>326</v>
      </c>
      <c r="G300" t="s">
        <v>309</v>
      </c>
      <c r="H300" t="s">
        <v>338</v>
      </c>
      <c r="J300" s="4">
        <v>6000</v>
      </c>
    </row>
    <row r="301" spans="1:13" x14ac:dyDescent="0.2">
      <c r="A301" s="3">
        <v>120</v>
      </c>
      <c r="B301" s="3">
        <v>208</v>
      </c>
      <c r="C301" s="1">
        <v>45944</v>
      </c>
      <c r="D301" t="s">
        <v>298</v>
      </c>
      <c r="E301" t="s">
        <v>391</v>
      </c>
      <c r="F301" t="s">
        <v>340</v>
      </c>
      <c r="G301" t="s">
        <v>309</v>
      </c>
      <c r="H301" t="s">
        <v>341</v>
      </c>
      <c r="J301" s="4">
        <v>7283</v>
      </c>
    </row>
    <row r="302" spans="1:13" x14ac:dyDescent="0.2">
      <c r="A302" s="3">
        <v>120</v>
      </c>
      <c r="B302" s="3">
        <v>211</v>
      </c>
      <c r="C302" s="1">
        <v>45954</v>
      </c>
      <c r="D302" t="s">
        <v>298</v>
      </c>
      <c r="E302" t="s">
        <v>391</v>
      </c>
      <c r="F302" t="s">
        <v>340</v>
      </c>
      <c r="G302" t="s">
        <v>309</v>
      </c>
      <c r="H302" t="s">
        <v>342</v>
      </c>
      <c r="J302" s="4">
        <v>7263</v>
      </c>
    </row>
    <row r="303" spans="1:13" x14ac:dyDescent="0.2">
      <c r="A303" s="3">
        <v>120</v>
      </c>
      <c r="B303" s="3">
        <v>212</v>
      </c>
      <c r="C303" s="1">
        <v>45956</v>
      </c>
      <c r="D303" t="s">
        <v>298</v>
      </c>
      <c r="E303" t="s">
        <v>391</v>
      </c>
      <c r="F303" t="s">
        <v>124</v>
      </c>
      <c r="G303" t="s">
        <v>309</v>
      </c>
      <c r="H303" t="s">
        <v>343</v>
      </c>
      <c r="J303" s="4">
        <v>6668</v>
      </c>
    </row>
    <row r="304" spans="1:13" x14ac:dyDescent="0.2">
      <c r="A304" s="3">
        <v>121</v>
      </c>
      <c r="B304" s="3">
        <v>311</v>
      </c>
      <c r="C304" s="1">
        <v>45959</v>
      </c>
      <c r="D304" t="s">
        <v>344</v>
      </c>
      <c r="E304" t="s">
        <v>345</v>
      </c>
      <c r="F304" t="s">
        <v>41</v>
      </c>
      <c r="G304" t="s">
        <v>39</v>
      </c>
      <c r="H304" t="s">
        <v>21</v>
      </c>
      <c r="I304" t="s">
        <v>22</v>
      </c>
      <c r="J304" s="4">
        <v>67000</v>
      </c>
    </row>
    <row r="305" spans="1:13" x14ac:dyDescent="0.2">
      <c r="A305" s="3">
        <v>121</v>
      </c>
      <c r="M305" s="4">
        <v>150</v>
      </c>
    </row>
    <row r="306" spans="1:13" x14ac:dyDescent="0.2">
      <c r="A306" s="3">
        <v>122</v>
      </c>
      <c r="B306" s="3">
        <v>312</v>
      </c>
      <c r="C306" s="1">
        <v>45961</v>
      </c>
      <c r="D306" t="s">
        <v>346</v>
      </c>
      <c r="E306" t="s">
        <v>28</v>
      </c>
      <c r="F306" t="s">
        <v>347</v>
      </c>
      <c r="G306" t="s">
        <v>39</v>
      </c>
      <c r="H306" t="s">
        <v>21</v>
      </c>
      <c r="I306" t="s">
        <v>22</v>
      </c>
      <c r="J306" s="4">
        <v>25000</v>
      </c>
    </row>
    <row r="307" spans="1:13" x14ac:dyDescent="0.2">
      <c r="A307" s="3">
        <v>122</v>
      </c>
      <c r="M307" s="4">
        <v>150</v>
      </c>
    </row>
    <row r="308" spans="1:13" x14ac:dyDescent="0.2">
      <c r="A308" s="3">
        <v>123</v>
      </c>
      <c r="B308" s="3">
        <v>210</v>
      </c>
      <c r="C308" s="1">
        <v>45948</v>
      </c>
      <c r="D308" t="s">
        <v>298</v>
      </c>
      <c r="E308" t="s">
        <v>391</v>
      </c>
      <c r="F308" t="s">
        <v>124</v>
      </c>
      <c r="G308" t="s">
        <v>309</v>
      </c>
      <c r="H308" t="s">
        <v>348</v>
      </c>
      <c r="J308" s="4">
        <v>6550</v>
      </c>
    </row>
    <row r="309" spans="1:13" x14ac:dyDescent="0.2">
      <c r="A309" s="3">
        <v>123</v>
      </c>
      <c r="B309" s="3">
        <v>213</v>
      </c>
      <c r="C309" s="1">
        <v>45958</v>
      </c>
      <c r="D309" t="s">
        <v>298</v>
      </c>
      <c r="E309" t="s">
        <v>391</v>
      </c>
      <c r="F309" t="s">
        <v>124</v>
      </c>
      <c r="G309" t="s">
        <v>309</v>
      </c>
      <c r="H309" t="s">
        <v>349</v>
      </c>
      <c r="J309" s="4">
        <v>6625</v>
      </c>
    </row>
    <row r="310" spans="1:13" x14ac:dyDescent="0.2">
      <c r="A310" s="3">
        <v>124</v>
      </c>
      <c r="B310" s="3">
        <v>214</v>
      </c>
      <c r="C310" s="1">
        <v>45963</v>
      </c>
      <c r="D310" t="s">
        <v>298</v>
      </c>
      <c r="E310" t="s">
        <v>391</v>
      </c>
      <c r="F310" t="s">
        <v>124</v>
      </c>
      <c r="G310" t="s">
        <v>309</v>
      </c>
      <c r="H310" t="s">
        <v>350</v>
      </c>
      <c r="J310" s="4">
        <v>6811</v>
      </c>
    </row>
    <row r="311" spans="1:13" x14ac:dyDescent="0.2">
      <c r="A311" s="3">
        <v>124</v>
      </c>
      <c r="B311" s="3">
        <v>215</v>
      </c>
      <c r="C311" s="1">
        <v>45965</v>
      </c>
      <c r="D311" t="s">
        <v>298</v>
      </c>
      <c r="E311" t="s">
        <v>391</v>
      </c>
      <c r="F311" t="s">
        <v>326</v>
      </c>
      <c r="G311" t="s">
        <v>309</v>
      </c>
      <c r="H311" t="s">
        <v>351</v>
      </c>
      <c r="J311" s="4">
        <v>6035</v>
      </c>
    </row>
    <row r="312" spans="1:13" x14ac:dyDescent="0.2">
      <c r="A312" s="3">
        <v>124</v>
      </c>
      <c r="B312" s="3">
        <v>216</v>
      </c>
      <c r="C312" s="1">
        <v>45972</v>
      </c>
      <c r="D312" t="s">
        <v>298</v>
      </c>
      <c r="E312" t="s">
        <v>391</v>
      </c>
      <c r="F312" t="s">
        <v>124</v>
      </c>
      <c r="G312" t="s">
        <v>309</v>
      </c>
      <c r="H312" t="s">
        <v>352</v>
      </c>
      <c r="J312" s="4">
        <v>6121</v>
      </c>
    </row>
    <row r="313" spans="1:13" x14ac:dyDescent="0.2">
      <c r="A313" s="3">
        <v>124</v>
      </c>
      <c r="B313" s="3">
        <v>217</v>
      </c>
      <c r="C313" s="1">
        <v>45974</v>
      </c>
      <c r="D313" t="s">
        <v>298</v>
      </c>
      <c r="E313" t="s">
        <v>391</v>
      </c>
      <c r="F313" t="s">
        <v>353</v>
      </c>
      <c r="G313" t="s">
        <v>309</v>
      </c>
      <c r="H313" t="s">
        <v>358</v>
      </c>
      <c r="J313" s="4">
        <v>6832</v>
      </c>
    </row>
    <row r="314" spans="1:13" x14ac:dyDescent="0.2">
      <c r="A314" s="3">
        <v>124</v>
      </c>
      <c r="B314" s="3">
        <v>218</v>
      </c>
      <c r="C314" s="1">
        <v>45976</v>
      </c>
      <c r="D314" t="s">
        <v>298</v>
      </c>
      <c r="E314" t="s">
        <v>391</v>
      </c>
      <c r="F314" t="s">
        <v>414</v>
      </c>
      <c r="G314" t="s">
        <v>309</v>
      </c>
      <c r="H314" t="s">
        <v>354</v>
      </c>
      <c r="J314" s="4">
        <v>6607</v>
      </c>
    </row>
    <row r="315" spans="1:13" x14ac:dyDescent="0.2">
      <c r="A315" s="3">
        <v>125</v>
      </c>
      <c r="B315" s="3">
        <v>219</v>
      </c>
      <c r="C315" s="1">
        <v>45977</v>
      </c>
      <c r="D315" t="s">
        <v>298</v>
      </c>
      <c r="E315" t="s">
        <v>391</v>
      </c>
      <c r="F315" t="s">
        <v>124</v>
      </c>
      <c r="G315" t="s">
        <v>309</v>
      </c>
      <c r="H315" t="s">
        <v>359</v>
      </c>
      <c r="J315" s="4">
        <v>6664</v>
      </c>
    </row>
    <row r="316" spans="1:13" x14ac:dyDescent="0.2">
      <c r="A316" s="3">
        <v>125</v>
      </c>
      <c r="B316" s="3">
        <v>220</v>
      </c>
      <c r="C316" s="1" t="s">
        <v>360</v>
      </c>
      <c r="D316" t="s">
        <v>361</v>
      </c>
      <c r="E316" t="s">
        <v>391</v>
      </c>
      <c r="F316" t="s">
        <v>326</v>
      </c>
      <c r="G316" t="s">
        <v>309</v>
      </c>
      <c r="H316" t="s">
        <v>362</v>
      </c>
      <c r="J316" s="4">
        <v>6952</v>
      </c>
    </row>
    <row r="317" spans="1:13" x14ac:dyDescent="0.2">
      <c r="A317" s="3">
        <v>125</v>
      </c>
      <c r="B317" s="3">
        <v>221</v>
      </c>
      <c r="C317" s="1">
        <v>45683</v>
      </c>
      <c r="D317" t="s">
        <v>298</v>
      </c>
      <c r="E317" t="s">
        <v>391</v>
      </c>
      <c r="F317" t="s">
        <v>363</v>
      </c>
      <c r="G317" t="s">
        <v>309</v>
      </c>
      <c r="H317" t="s">
        <v>364</v>
      </c>
      <c r="J317" s="4">
        <v>6920</v>
      </c>
    </row>
    <row r="318" spans="1:13" x14ac:dyDescent="0.2">
      <c r="A318" s="3">
        <v>125</v>
      </c>
      <c r="B318" s="3">
        <v>222</v>
      </c>
      <c r="C318" s="1">
        <v>45988</v>
      </c>
      <c r="D318" t="s">
        <v>298</v>
      </c>
      <c r="E318" t="s">
        <v>391</v>
      </c>
      <c r="F318" t="s">
        <v>124</v>
      </c>
      <c r="G318" t="s">
        <v>309</v>
      </c>
      <c r="H318" t="s">
        <v>365</v>
      </c>
      <c r="J318" s="4">
        <v>6058</v>
      </c>
    </row>
    <row r="319" spans="1:13" x14ac:dyDescent="0.2">
      <c r="A319" s="3">
        <v>126</v>
      </c>
      <c r="B319" s="3">
        <v>223</v>
      </c>
      <c r="C319" s="1">
        <v>45989</v>
      </c>
      <c r="D319" s="30" t="s">
        <v>298</v>
      </c>
      <c r="E319" t="s">
        <v>391</v>
      </c>
      <c r="F319" t="s">
        <v>340</v>
      </c>
      <c r="G319" t="s">
        <v>309</v>
      </c>
      <c r="H319" t="s">
        <v>366</v>
      </c>
      <c r="J319" s="4">
        <v>6718</v>
      </c>
    </row>
    <row r="320" spans="1:13" x14ac:dyDescent="0.2">
      <c r="A320" s="3">
        <v>127</v>
      </c>
      <c r="B320" s="3">
        <v>313</v>
      </c>
      <c r="C320" s="1">
        <v>45964</v>
      </c>
      <c r="D320" t="s">
        <v>355</v>
      </c>
      <c r="E320" t="s">
        <v>83</v>
      </c>
      <c r="F320" t="s">
        <v>83</v>
      </c>
      <c r="G320" t="s">
        <v>39</v>
      </c>
      <c r="H320" t="s">
        <v>21</v>
      </c>
      <c r="I320" t="s">
        <v>22</v>
      </c>
      <c r="J320" s="4">
        <v>10500</v>
      </c>
    </row>
    <row r="321" spans="1:13" x14ac:dyDescent="0.2">
      <c r="A321" s="3">
        <v>127</v>
      </c>
      <c r="M321" s="4">
        <v>150</v>
      </c>
    </row>
    <row r="322" spans="1:13" x14ac:dyDescent="0.2">
      <c r="A322" s="3">
        <v>128</v>
      </c>
      <c r="B322" s="3">
        <v>314</v>
      </c>
      <c r="C322" s="1">
        <v>45965</v>
      </c>
      <c r="D322" t="s">
        <v>356</v>
      </c>
      <c r="E322" t="s">
        <v>357</v>
      </c>
      <c r="F322" t="s">
        <v>210</v>
      </c>
      <c r="G322" t="s">
        <v>136</v>
      </c>
      <c r="H322" t="s">
        <v>21</v>
      </c>
      <c r="I322" t="s">
        <v>22</v>
      </c>
      <c r="J322" s="4">
        <v>20000</v>
      </c>
    </row>
    <row r="323" spans="1:13" x14ac:dyDescent="0.2">
      <c r="A323" s="3">
        <v>128</v>
      </c>
      <c r="M323" s="4">
        <v>150</v>
      </c>
    </row>
    <row r="324" spans="1:13" x14ac:dyDescent="0.2">
      <c r="A324" s="3">
        <v>129</v>
      </c>
      <c r="B324" s="3">
        <v>315</v>
      </c>
      <c r="C324" s="1">
        <v>45976</v>
      </c>
      <c r="D324" t="s">
        <v>134</v>
      </c>
      <c r="E324" t="s">
        <v>367</v>
      </c>
      <c r="F324" t="s">
        <v>28</v>
      </c>
      <c r="G324" t="s">
        <v>39</v>
      </c>
      <c r="H324" t="s">
        <v>21</v>
      </c>
      <c r="I324" t="s">
        <v>22</v>
      </c>
      <c r="J324" s="4">
        <v>22000</v>
      </c>
    </row>
    <row r="325" spans="1:13" x14ac:dyDescent="0.2">
      <c r="A325" s="3">
        <v>129</v>
      </c>
      <c r="M325" s="4">
        <v>150</v>
      </c>
    </row>
    <row r="326" spans="1:13" x14ac:dyDescent="0.2">
      <c r="A326" s="3">
        <v>130</v>
      </c>
      <c r="B326" s="3">
        <v>316</v>
      </c>
      <c r="C326" s="1">
        <v>45982</v>
      </c>
      <c r="D326" t="s">
        <v>368</v>
      </c>
      <c r="E326" t="s">
        <v>302</v>
      </c>
      <c r="F326" t="s">
        <v>369</v>
      </c>
      <c r="G326" t="s">
        <v>39</v>
      </c>
      <c r="H326" t="s">
        <v>21</v>
      </c>
      <c r="I326" t="s">
        <v>22</v>
      </c>
      <c r="J326" s="4">
        <v>19000</v>
      </c>
    </row>
    <row r="327" spans="1:13" x14ac:dyDescent="0.2">
      <c r="A327" s="3">
        <v>130</v>
      </c>
      <c r="B327" s="3">
        <v>317</v>
      </c>
      <c r="C327" s="1">
        <v>45982</v>
      </c>
      <c r="D327" t="s">
        <v>368</v>
      </c>
      <c r="E327" t="s">
        <v>302</v>
      </c>
      <c r="F327" t="s">
        <v>370</v>
      </c>
      <c r="G327" t="s">
        <v>39</v>
      </c>
      <c r="H327" t="s">
        <v>21</v>
      </c>
      <c r="I327" t="s">
        <v>22</v>
      </c>
    </row>
    <row r="328" spans="1:13" x14ac:dyDescent="0.2">
      <c r="A328" s="3">
        <v>130</v>
      </c>
      <c r="M328" s="4">
        <v>150</v>
      </c>
    </row>
    <row r="329" spans="1:13" x14ac:dyDescent="0.2">
      <c r="A329" s="3">
        <v>131</v>
      </c>
      <c r="B329" s="3">
        <v>319</v>
      </c>
      <c r="C329" s="1">
        <v>45982</v>
      </c>
      <c r="D329" t="s">
        <v>371</v>
      </c>
      <c r="E329" t="s">
        <v>372</v>
      </c>
      <c r="F329" t="s">
        <v>210</v>
      </c>
      <c r="G329" t="s">
        <v>373</v>
      </c>
      <c r="H329" t="s">
        <v>21</v>
      </c>
      <c r="I329" t="s">
        <v>22</v>
      </c>
      <c r="J329" s="4">
        <v>21000</v>
      </c>
    </row>
    <row r="330" spans="1:13" x14ac:dyDescent="0.2">
      <c r="A330" s="3">
        <v>131</v>
      </c>
      <c r="M330" s="4">
        <v>150</v>
      </c>
    </row>
    <row r="331" spans="1:13" x14ac:dyDescent="0.2">
      <c r="A331" s="3">
        <v>132</v>
      </c>
      <c r="B331" s="3">
        <v>320</v>
      </c>
      <c r="C331" s="1">
        <v>45986</v>
      </c>
      <c r="D331" t="s">
        <v>374</v>
      </c>
      <c r="E331" t="s">
        <v>126</v>
      </c>
      <c r="F331" t="s">
        <v>80</v>
      </c>
      <c r="G331" t="s">
        <v>30</v>
      </c>
      <c r="H331" t="s">
        <v>21</v>
      </c>
      <c r="I331" t="s">
        <v>22</v>
      </c>
      <c r="J331" s="4">
        <v>22000</v>
      </c>
    </row>
    <row r="332" spans="1:13" x14ac:dyDescent="0.2">
      <c r="A332" s="3">
        <v>132</v>
      </c>
      <c r="M332" s="4">
        <v>150</v>
      </c>
    </row>
    <row r="333" spans="1:13" x14ac:dyDescent="0.2">
      <c r="A333" s="3">
        <v>133</v>
      </c>
      <c r="B333" s="3">
        <v>321</v>
      </c>
      <c r="C333" s="1">
        <v>45988</v>
      </c>
      <c r="D333" t="s">
        <v>375</v>
      </c>
      <c r="E333" t="s">
        <v>28</v>
      </c>
      <c r="F333" t="s">
        <v>41</v>
      </c>
      <c r="G333" t="s">
        <v>39</v>
      </c>
      <c r="H333" t="s">
        <v>21</v>
      </c>
      <c r="I333" t="s">
        <v>22</v>
      </c>
      <c r="J333" s="4">
        <v>105000</v>
      </c>
    </row>
    <row r="334" spans="1:13" x14ac:dyDescent="0.2">
      <c r="A334" s="3">
        <v>133</v>
      </c>
      <c r="B334" s="3">
        <v>322</v>
      </c>
      <c r="C334" s="1">
        <v>45989</v>
      </c>
      <c r="D334" t="s">
        <v>375</v>
      </c>
      <c r="E334" t="s">
        <v>28</v>
      </c>
      <c r="F334" t="s">
        <v>41</v>
      </c>
      <c r="G334" t="s">
        <v>30</v>
      </c>
      <c r="H334" t="s">
        <v>21</v>
      </c>
      <c r="I334" t="s">
        <v>22</v>
      </c>
    </row>
    <row r="335" spans="1:13" x14ac:dyDescent="0.2">
      <c r="A335" s="3">
        <v>133</v>
      </c>
      <c r="M335" s="4">
        <v>150</v>
      </c>
    </row>
    <row r="336" spans="1:13" x14ac:dyDescent="0.2">
      <c r="A336" s="3">
        <v>147</v>
      </c>
      <c r="B336" s="3">
        <v>242</v>
      </c>
      <c r="C336" s="1">
        <v>46044</v>
      </c>
      <c r="D336" t="s">
        <v>298</v>
      </c>
      <c r="E336" t="s">
        <v>391</v>
      </c>
      <c r="F336" t="s">
        <v>124</v>
      </c>
      <c r="G336" t="s">
        <v>309</v>
      </c>
      <c r="H336" t="s">
        <v>403</v>
      </c>
      <c r="J336" s="4">
        <v>7173</v>
      </c>
    </row>
    <row r="337" spans="1:13" x14ac:dyDescent="0.2">
      <c r="A337" s="3">
        <v>148</v>
      </c>
      <c r="B337" s="3">
        <v>236</v>
      </c>
      <c r="C337" s="1">
        <v>46023</v>
      </c>
      <c r="D337" t="s">
        <v>298</v>
      </c>
      <c r="E337" t="s">
        <v>391</v>
      </c>
      <c r="F337" t="s">
        <v>124</v>
      </c>
      <c r="G337" t="s">
        <v>309</v>
      </c>
      <c r="H337" t="s">
        <v>382</v>
      </c>
      <c r="J337" s="4">
        <v>7017</v>
      </c>
    </row>
    <row r="338" spans="1:13" x14ac:dyDescent="0.2">
      <c r="A338" s="3">
        <v>148</v>
      </c>
      <c r="B338" s="3">
        <v>237</v>
      </c>
      <c r="C338" s="1">
        <v>46025</v>
      </c>
      <c r="D338" t="s">
        <v>298</v>
      </c>
      <c r="E338" t="s">
        <v>391</v>
      </c>
      <c r="F338" t="s">
        <v>124</v>
      </c>
      <c r="G338" t="s">
        <v>309</v>
      </c>
      <c r="H338" t="s">
        <v>383</v>
      </c>
      <c r="J338" s="4">
        <v>6505</v>
      </c>
    </row>
    <row r="339" spans="1:13" x14ac:dyDescent="0.2">
      <c r="A339" s="3">
        <v>148</v>
      </c>
      <c r="B339" s="3">
        <v>238</v>
      </c>
      <c r="C339" s="1">
        <v>46027</v>
      </c>
      <c r="D339" t="s">
        <v>298</v>
      </c>
      <c r="E339" t="s">
        <v>391</v>
      </c>
      <c r="F339" t="s">
        <v>124</v>
      </c>
      <c r="G339" t="s">
        <v>309</v>
      </c>
      <c r="H339" t="s">
        <v>384</v>
      </c>
      <c r="J339" s="4">
        <v>6733</v>
      </c>
    </row>
    <row r="340" spans="1:13" x14ac:dyDescent="0.2">
      <c r="A340" s="3">
        <v>148</v>
      </c>
      <c r="B340" s="3">
        <v>239</v>
      </c>
      <c r="C340" s="1">
        <v>46033</v>
      </c>
      <c r="D340" t="s">
        <v>298</v>
      </c>
      <c r="E340" t="s">
        <v>391</v>
      </c>
      <c r="F340" t="s">
        <v>124</v>
      </c>
      <c r="G340" t="s">
        <v>309</v>
      </c>
      <c r="H340" t="s">
        <v>385</v>
      </c>
      <c r="J340" s="4">
        <v>6580</v>
      </c>
    </row>
    <row r="341" spans="1:13" x14ac:dyDescent="0.2">
      <c r="A341" s="3">
        <v>148</v>
      </c>
      <c r="B341" s="3">
        <v>240</v>
      </c>
      <c r="C341" s="1">
        <v>46038</v>
      </c>
      <c r="D341" t="s">
        <v>298</v>
      </c>
      <c r="E341" t="s">
        <v>391</v>
      </c>
      <c r="F341" t="s">
        <v>124</v>
      </c>
      <c r="G341" t="s">
        <v>309</v>
      </c>
      <c r="H341" t="s">
        <v>386</v>
      </c>
      <c r="J341" s="4">
        <v>6439</v>
      </c>
    </row>
    <row r="342" spans="1:13" x14ac:dyDescent="0.2">
      <c r="A342" s="3">
        <v>148</v>
      </c>
      <c r="B342" s="3">
        <v>241</v>
      </c>
      <c r="C342" s="1">
        <v>46039</v>
      </c>
      <c r="D342" t="s">
        <v>337</v>
      </c>
      <c r="E342" t="s">
        <v>391</v>
      </c>
      <c r="F342" t="s">
        <v>124</v>
      </c>
      <c r="G342" t="s">
        <v>309</v>
      </c>
      <c r="H342" t="s">
        <v>387</v>
      </c>
      <c r="J342" s="4">
        <v>6308</v>
      </c>
    </row>
    <row r="343" spans="1:13" x14ac:dyDescent="0.2">
      <c r="A343" s="3">
        <v>148</v>
      </c>
      <c r="B343" s="3">
        <v>243</v>
      </c>
      <c r="C343" s="1">
        <v>46046</v>
      </c>
      <c r="D343" s="36" t="s">
        <v>298</v>
      </c>
      <c r="E343" t="s">
        <v>391</v>
      </c>
      <c r="F343" t="s">
        <v>124</v>
      </c>
      <c r="G343" t="s">
        <v>309</v>
      </c>
      <c r="H343" t="s">
        <v>388</v>
      </c>
      <c r="J343" s="4">
        <v>6849</v>
      </c>
    </row>
    <row r="344" spans="1:13" x14ac:dyDescent="0.2">
      <c r="A344" s="3">
        <v>148</v>
      </c>
      <c r="B344" s="3">
        <v>244</v>
      </c>
      <c r="C344" s="1">
        <v>46048</v>
      </c>
      <c r="D344" s="36" t="s">
        <v>298</v>
      </c>
      <c r="E344" t="s">
        <v>391</v>
      </c>
      <c r="F344" t="s">
        <v>326</v>
      </c>
      <c r="G344" t="s">
        <v>309</v>
      </c>
      <c r="H344" t="s">
        <v>389</v>
      </c>
      <c r="J344" s="4">
        <v>6276</v>
      </c>
    </row>
    <row r="345" spans="1:13" x14ac:dyDescent="0.2">
      <c r="A345" s="3">
        <v>148</v>
      </c>
      <c r="B345" s="3">
        <v>245</v>
      </c>
      <c r="C345" s="1">
        <v>46049</v>
      </c>
      <c r="D345" t="s">
        <v>392</v>
      </c>
      <c r="E345" t="s">
        <v>391</v>
      </c>
      <c r="F345" t="s">
        <v>124</v>
      </c>
      <c r="G345" t="s">
        <v>309</v>
      </c>
      <c r="H345" t="s">
        <v>390</v>
      </c>
      <c r="J345" s="4">
        <v>7372</v>
      </c>
    </row>
    <row r="346" spans="1:13" x14ac:dyDescent="0.2">
      <c r="A346" s="3">
        <v>149</v>
      </c>
      <c r="B346" s="3">
        <v>246</v>
      </c>
      <c r="C346" s="1">
        <v>46050</v>
      </c>
      <c r="D346" t="s">
        <v>298</v>
      </c>
      <c r="E346" t="s">
        <v>391</v>
      </c>
      <c r="F346" t="s">
        <v>393</v>
      </c>
      <c r="G346" t="s">
        <v>309</v>
      </c>
      <c r="H346" t="s">
        <v>394</v>
      </c>
      <c r="J346" s="4">
        <v>7021</v>
      </c>
    </row>
    <row r="347" spans="1:13" x14ac:dyDescent="0.2">
      <c r="A347" s="3">
        <v>150</v>
      </c>
      <c r="B347" s="3">
        <v>339</v>
      </c>
      <c r="C347" s="1">
        <v>46028</v>
      </c>
      <c r="D347" t="s">
        <v>395</v>
      </c>
      <c r="E347" t="s">
        <v>187</v>
      </c>
      <c r="F347" t="s">
        <v>396</v>
      </c>
      <c r="G347" t="s">
        <v>39</v>
      </c>
      <c r="H347" t="s">
        <v>21</v>
      </c>
      <c r="I347" t="s">
        <v>22</v>
      </c>
      <c r="J347" s="4">
        <v>8500</v>
      </c>
    </row>
    <row r="348" spans="1:13" x14ac:dyDescent="0.2">
      <c r="A348" s="3">
        <v>150</v>
      </c>
      <c r="M348" s="4">
        <v>150</v>
      </c>
    </row>
    <row r="349" spans="1:13" x14ac:dyDescent="0.2">
      <c r="A349" s="3">
        <v>151</v>
      </c>
      <c r="B349" s="3">
        <v>340</v>
      </c>
      <c r="C349" s="1">
        <v>46036</v>
      </c>
      <c r="D349" t="s">
        <v>397</v>
      </c>
      <c r="E349" t="s">
        <v>19</v>
      </c>
      <c r="F349" t="s">
        <v>79</v>
      </c>
      <c r="G349" t="s">
        <v>39</v>
      </c>
      <c r="H349" t="s">
        <v>21</v>
      </c>
      <c r="I349" t="s">
        <v>22</v>
      </c>
      <c r="J349" s="4">
        <v>21000</v>
      </c>
    </row>
    <row r="350" spans="1:13" x14ac:dyDescent="0.2">
      <c r="A350" s="3">
        <v>151</v>
      </c>
      <c r="B350" s="3">
        <v>341</v>
      </c>
      <c r="C350" s="1">
        <v>46036</v>
      </c>
      <c r="D350" t="s">
        <v>397</v>
      </c>
      <c r="E350" t="s">
        <v>19</v>
      </c>
      <c r="F350" t="s">
        <v>79</v>
      </c>
      <c r="G350" t="s">
        <v>39</v>
      </c>
      <c r="H350" t="s">
        <v>21</v>
      </c>
      <c r="I350" t="s">
        <v>22</v>
      </c>
    </row>
    <row r="351" spans="1:13" x14ac:dyDescent="0.2">
      <c r="A351" s="3">
        <v>151</v>
      </c>
      <c r="M351" s="4">
        <v>150</v>
      </c>
    </row>
    <row r="352" spans="1:13" x14ac:dyDescent="0.2">
      <c r="A352" s="3">
        <v>152</v>
      </c>
      <c r="B352" s="3">
        <v>342</v>
      </c>
      <c r="C352" s="1">
        <v>46043</v>
      </c>
      <c r="D352" t="s">
        <v>398</v>
      </c>
      <c r="E352" t="s">
        <v>399</v>
      </c>
      <c r="F352" t="s">
        <v>99</v>
      </c>
      <c r="G352" t="s">
        <v>39</v>
      </c>
      <c r="H352" t="s">
        <v>21</v>
      </c>
      <c r="I352" t="s">
        <v>22</v>
      </c>
      <c r="J352" s="4">
        <v>24000</v>
      </c>
    </row>
    <row r="353" spans="1:13" x14ac:dyDescent="0.2">
      <c r="A353" s="3">
        <v>152</v>
      </c>
      <c r="M353" s="4">
        <v>150</v>
      </c>
    </row>
    <row r="354" spans="1:13" x14ac:dyDescent="0.2">
      <c r="A354" s="3">
        <v>153</v>
      </c>
      <c r="B354" s="3">
        <v>343</v>
      </c>
      <c r="C354" s="1">
        <v>46043</v>
      </c>
      <c r="D354" t="s">
        <v>400</v>
      </c>
      <c r="E354" t="s">
        <v>29</v>
      </c>
      <c r="F354" t="s">
        <v>41</v>
      </c>
      <c r="G354" t="s">
        <v>30</v>
      </c>
      <c r="H354" t="s">
        <v>21</v>
      </c>
      <c r="I354" t="s">
        <v>22</v>
      </c>
      <c r="J354" s="4">
        <v>55000</v>
      </c>
    </row>
    <row r="355" spans="1:13" x14ac:dyDescent="0.2">
      <c r="A355" s="3">
        <v>153</v>
      </c>
      <c r="B355" s="3">
        <v>344</v>
      </c>
      <c r="C355" s="1">
        <v>46043</v>
      </c>
      <c r="D355" t="s">
        <v>400</v>
      </c>
      <c r="E355" t="s">
        <v>29</v>
      </c>
      <c r="F355" t="s">
        <v>41</v>
      </c>
      <c r="G355" t="s">
        <v>30</v>
      </c>
      <c r="H355" t="s">
        <v>21</v>
      </c>
      <c r="I355" t="s">
        <v>22</v>
      </c>
    </row>
    <row r="356" spans="1:13" x14ac:dyDescent="0.2">
      <c r="A356" s="3">
        <v>153</v>
      </c>
      <c r="M356" s="4">
        <v>150</v>
      </c>
    </row>
    <row r="357" spans="1:13" x14ac:dyDescent="0.2">
      <c r="A357" s="3">
        <v>154</v>
      </c>
      <c r="B357" s="3">
        <v>345</v>
      </c>
      <c r="C357" s="1">
        <v>46050</v>
      </c>
      <c r="D357" t="s">
        <v>401</v>
      </c>
      <c r="E357" t="s">
        <v>28</v>
      </c>
      <c r="F357" t="s">
        <v>402</v>
      </c>
      <c r="G357" t="s">
        <v>39</v>
      </c>
      <c r="H357" t="s">
        <v>21</v>
      </c>
      <c r="I357" t="s">
        <v>22</v>
      </c>
      <c r="J357" s="4">
        <v>88000</v>
      </c>
    </row>
    <row r="358" spans="1:13" x14ac:dyDescent="0.2">
      <c r="A358" s="3">
        <v>154</v>
      </c>
      <c r="M358" s="4">
        <v>150</v>
      </c>
    </row>
    <row r="359" spans="1:13" x14ac:dyDescent="0.2">
      <c r="A359" s="3">
        <v>155</v>
      </c>
      <c r="B359" s="3">
        <v>346</v>
      </c>
      <c r="C359" s="1">
        <v>46059</v>
      </c>
      <c r="D359" t="s">
        <v>404</v>
      </c>
      <c r="E359" t="s">
        <v>20</v>
      </c>
      <c r="F359" t="s">
        <v>405</v>
      </c>
      <c r="G359" t="s">
        <v>406</v>
      </c>
      <c r="H359" t="s">
        <v>21</v>
      </c>
      <c r="I359" t="s">
        <v>22</v>
      </c>
      <c r="J359" s="4">
        <v>23000</v>
      </c>
    </row>
    <row r="360" spans="1:13" x14ac:dyDescent="0.2">
      <c r="A360" s="3">
        <v>155</v>
      </c>
      <c r="M360" s="4">
        <v>150</v>
      </c>
    </row>
    <row r="361" spans="1:13" x14ac:dyDescent="0.2">
      <c r="A361" s="3">
        <v>156</v>
      </c>
      <c r="B361" s="3">
        <v>347</v>
      </c>
      <c r="C361" s="1">
        <v>46060</v>
      </c>
      <c r="D361" t="s">
        <v>407</v>
      </c>
      <c r="E361" t="s">
        <v>408</v>
      </c>
      <c r="F361" t="s">
        <v>41</v>
      </c>
      <c r="G361" t="s">
        <v>39</v>
      </c>
      <c r="H361" t="s">
        <v>21</v>
      </c>
      <c r="I361" t="s">
        <v>22</v>
      </c>
      <c r="J361" s="4">
        <v>99000</v>
      </c>
    </row>
    <row r="362" spans="1:13" x14ac:dyDescent="0.2">
      <c r="A362" s="3">
        <v>156</v>
      </c>
      <c r="M362" s="4">
        <v>150</v>
      </c>
    </row>
    <row r="363" spans="1:13" x14ac:dyDescent="0.2">
      <c r="A363" s="3">
        <v>157</v>
      </c>
      <c r="B363" s="3">
        <v>348</v>
      </c>
      <c r="C363" s="1">
        <v>46065</v>
      </c>
      <c r="D363" t="s">
        <v>409</v>
      </c>
      <c r="E363" t="s">
        <v>268</v>
      </c>
      <c r="F363" t="s">
        <v>74</v>
      </c>
      <c r="G363" t="s">
        <v>410</v>
      </c>
      <c r="H363" t="s">
        <v>21</v>
      </c>
      <c r="I363" t="s">
        <v>22</v>
      </c>
      <c r="J363" s="4">
        <v>50000</v>
      </c>
    </row>
    <row r="364" spans="1:13" x14ac:dyDescent="0.2">
      <c r="A364" s="3">
        <v>157</v>
      </c>
      <c r="M364" s="4">
        <v>150</v>
      </c>
    </row>
    <row r="365" spans="1:13" x14ac:dyDescent="0.2">
      <c r="A365" s="3">
        <v>158</v>
      </c>
      <c r="B365" s="3">
        <v>349</v>
      </c>
      <c r="C365" s="1">
        <v>46071</v>
      </c>
      <c r="D365" t="s">
        <v>411</v>
      </c>
      <c r="E365" t="s">
        <v>19</v>
      </c>
      <c r="F365" t="s">
        <v>99</v>
      </c>
      <c r="G365" t="s">
        <v>39</v>
      </c>
      <c r="H365" t="s">
        <v>21</v>
      </c>
      <c r="I365" t="s">
        <v>22</v>
      </c>
      <c r="J365" s="4">
        <v>43000</v>
      </c>
    </row>
    <row r="366" spans="1:13" x14ac:dyDescent="0.2">
      <c r="A366" s="3">
        <v>158</v>
      </c>
      <c r="B366" s="3">
        <v>350</v>
      </c>
      <c r="C366" s="1">
        <v>46071</v>
      </c>
      <c r="D366" t="s">
        <v>411</v>
      </c>
      <c r="E366" t="s">
        <v>19</v>
      </c>
      <c r="F366" t="s">
        <v>41</v>
      </c>
      <c r="G366" t="s">
        <v>39</v>
      </c>
      <c r="H366" t="s">
        <v>21</v>
      </c>
      <c r="I366" t="s">
        <v>22</v>
      </c>
    </row>
    <row r="367" spans="1:13" x14ac:dyDescent="0.2">
      <c r="A367" s="3">
        <v>158</v>
      </c>
      <c r="M367" s="4">
        <v>150</v>
      </c>
    </row>
    <row r="368" spans="1:13" x14ac:dyDescent="0.2">
      <c r="A368" s="3">
        <v>159</v>
      </c>
      <c r="B368" s="3">
        <v>251</v>
      </c>
      <c r="C368" s="1">
        <v>46077</v>
      </c>
      <c r="D368" t="s">
        <v>412</v>
      </c>
      <c r="E368" t="s">
        <v>187</v>
      </c>
      <c r="F368" t="s">
        <v>41</v>
      </c>
      <c r="G368" t="s">
        <v>39</v>
      </c>
      <c r="H368" t="s">
        <v>21</v>
      </c>
      <c r="I368" t="s">
        <v>22</v>
      </c>
      <c r="J368" s="4">
        <v>105000</v>
      </c>
    </row>
    <row r="369" spans="1:13" x14ac:dyDescent="0.2">
      <c r="A369" s="3">
        <v>159</v>
      </c>
      <c r="K369" t="s">
        <v>413</v>
      </c>
      <c r="L369" s="4">
        <v>19425</v>
      </c>
    </row>
    <row r="370" spans="1:13" x14ac:dyDescent="0.2">
      <c r="A370" s="3">
        <v>159</v>
      </c>
      <c r="M370" s="4">
        <v>150</v>
      </c>
    </row>
    <row r="371" spans="1:13" x14ac:dyDescent="0.2">
      <c r="A371" s="3">
        <v>161</v>
      </c>
      <c r="B371" s="3">
        <v>247</v>
      </c>
      <c r="C371" s="1">
        <v>46054</v>
      </c>
      <c r="D371" t="s">
        <v>392</v>
      </c>
      <c r="E371" t="s">
        <v>391</v>
      </c>
      <c r="F371" t="s">
        <v>124</v>
      </c>
      <c r="G371" t="s">
        <v>309</v>
      </c>
      <c r="H371" t="s">
        <v>421</v>
      </c>
      <c r="J371" s="4">
        <v>7140</v>
      </c>
    </row>
    <row r="372" spans="1:13" x14ac:dyDescent="0.2">
      <c r="A372" s="3">
        <v>161</v>
      </c>
      <c r="B372" s="3">
        <v>248</v>
      </c>
      <c r="C372" s="1">
        <v>46054</v>
      </c>
      <c r="D372" t="s">
        <v>298</v>
      </c>
      <c r="E372" t="s">
        <v>391</v>
      </c>
      <c r="F372" t="s">
        <v>414</v>
      </c>
      <c r="G372" t="s">
        <v>309</v>
      </c>
      <c r="H372" t="s">
        <v>422</v>
      </c>
      <c r="J372" s="4">
        <v>6833</v>
      </c>
    </row>
    <row r="373" spans="1:13" x14ac:dyDescent="0.2">
      <c r="A373" s="3">
        <v>161</v>
      </c>
      <c r="B373" s="3">
        <v>249</v>
      </c>
      <c r="C373" s="1">
        <v>46056</v>
      </c>
      <c r="D373" t="s">
        <v>298</v>
      </c>
      <c r="E373" t="s">
        <v>391</v>
      </c>
      <c r="F373" t="s">
        <v>124</v>
      </c>
      <c r="G373" t="s">
        <v>309</v>
      </c>
      <c r="H373" t="s">
        <v>420</v>
      </c>
      <c r="J373" s="4">
        <v>6886</v>
      </c>
    </row>
    <row r="374" spans="1:13" x14ac:dyDescent="0.2">
      <c r="A374" s="3">
        <v>161</v>
      </c>
      <c r="B374" s="3">
        <v>250</v>
      </c>
      <c r="C374" s="1">
        <v>46060</v>
      </c>
      <c r="D374" t="s">
        <v>418</v>
      </c>
      <c r="E374" t="s">
        <v>391</v>
      </c>
      <c r="F374" t="s">
        <v>124</v>
      </c>
      <c r="G374" t="s">
        <v>309</v>
      </c>
      <c r="H374" t="s">
        <v>423</v>
      </c>
      <c r="J374" s="4">
        <v>7193</v>
      </c>
    </row>
    <row r="375" spans="1:13" x14ac:dyDescent="0.2">
      <c r="A375" s="3">
        <v>161</v>
      </c>
      <c r="B375" s="3">
        <v>351</v>
      </c>
      <c r="C375" s="1">
        <v>46060</v>
      </c>
      <c r="D375" t="s">
        <v>298</v>
      </c>
      <c r="E375" t="s">
        <v>391</v>
      </c>
      <c r="F375" t="s">
        <v>414</v>
      </c>
      <c r="G375" t="s">
        <v>309</v>
      </c>
      <c r="H375" t="s">
        <v>424</v>
      </c>
      <c r="J375" s="4">
        <v>6722</v>
      </c>
    </row>
    <row r="376" spans="1:13" x14ac:dyDescent="0.2">
      <c r="A376" s="3">
        <v>161</v>
      </c>
      <c r="B376" s="3">
        <v>352</v>
      </c>
      <c r="C376" s="1">
        <v>46061</v>
      </c>
      <c r="D376" t="s">
        <v>417</v>
      </c>
      <c r="E376" t="s">
        <v>391</v>
      </c>
      <c r="F376" t="s">
        <v>124</v>
      </c>
      <c r="G376" t="s">
        <v>309</v>
      </c>
      <c r="H376" t="s">
        <v>425</v>
      </c>
      <c r="J376" s="4">
        <v>6682</v>
      </c>
    </row>
    <row r="377" spans="1:13" x14ac:dyDescent="0.2">
      <c r="A377" s="3">
        <v>161</v>
      </c>
      <c r="B377" s="3">
        <v>353</v>
      </c>
      <c r="C377" s="1">
        <v>46062</v>
      </c>
      <c r="D377" t="s">
        <v>415</v>
      </c>
      <c r="E377" t="s">
        <v>391</v>
      </c>
      <c r="F377" t="s">
        <v>124</v>
      </c>
      <c r="G377" t="s">
        <v>309</v>
      </c>
      <c r="H377" t="s">
        <v>426</v>
      </c>
      <c r="J377" s="4">
        <v>6304</v>
      </c>
    </row>
    <row r="378" spans="1:13" x14ac:dyDescent="0.2">
      <c r="A378" s="3">
        <v>161</v>
      </c>
      <c r="B378" s="3">
        <v>354</v>
      </c>
      <c r="C378" s="1">
        <v>46063</v>
      </c>
      <c r="D378" t="s">
        <v>418</v>
      </c>
      <c r="E378" t="s">
        <v>391</v>
      </c>
      <c r="F378" t="s">
        <v>419</v>
      </c>
      <c r="G378" t="s">
        <v>309</v>
      </c>
      <c r="H378" t="s">
        <v>427</v>
      </c>
      <c r="J378" s="4">
        <v>6946</v>
      </c>
    </row>
    <row r="379" spans="1:13" x14ac:dyDescent="0.2">
      <c r="A379" s="3">
        <v>161</v>
      </c>
      <c r="B379" s="3">
        <v>355</v>
      </c>
      <c r="C379" s="1">
        <v>46065</v>
      </c>
      <c r="D379" t="s">
        <v>416</v>
      </c>
      <c r="E379" t="s">
        <v>391</v>
      </c>
      <c r="F379" t="s">
        <v>414</v>
      </c>
      <c r="G379" t="s">
        <v>309</v>
      </c>
      <c r="H379" t="s">
        <v>428</v>
      </c>
      <c r="J379" s="4">
        <v>6743</v>
      </c>
    </row>
    <row r="380" spans="1:13" x14ac:dyDescent="0.2">
      <c r="A380" s="3">
        <v>161</v>
      </c>
      <c r="B380" s="3">
        <v>356</v>
      </c>
      <c r="C380" s="1">
        <v>46066</v>
      </c>
      <c r="D380" t="s">
        <v>298</v>
      </c>
      <c r="E380" t="s">
        <v>391</v>
      </c>
      <c r="F380" t="s">
        <v>124</v>
      </c>
      <c r="G380" t="s">
        <v>309</v>
      </c>
      <c r="H380" t="s">
        <v>429</v>
      </c>
      <c r="J380" s="4">
        <v>6331</v>
      </c>
    </row>
    <row r="381" spans="1:13" x14ac:dyDescent="0.2">
      <c r="A381" s="3">
        <v>161</v>
      </c>
      <c r="B381" s="3">
        <v>357</v>
      </c>
      <c r="C381" s="1">
        <v>46068</v>
      </c>
      <c r="D381" t="s">
        <v>298</v>
      </c>
      <c r="E381" t="s">
        <v>391</v>
      </c>
      <c r="F381" t="s">
        <v>124</v>
      </c>
      <c r="G381" t="s">
        <v>309</v>
      </c>
      <c r="H381" t="s">
        <v>430</v>
      </c>
      <c r="J381" s="4">
        <v>6577</v>
      </c>
    </row>
    <row r="382" spans="1:13" x14ac:dyDescent="0.2">
      <c r="A382" s="3">
        <v>161</v>
      </c>
      <c r="B382" s="3">
        <v>358</v>
      </c>
      <c r="C382" s="1">
        <v>46070</v>
      </c>
      <c r="D382" t="s">
        <v>417</v>
      </c>
      <c r="E382" t="s">
        <v>391</v>
      </c>
      <c r="F382" t="s">
        <v>353</v>
      </c>
      <c r="G382" t="s">
        <v>309</v>
      </c>
      <c r="H382" t="s">
        <v>431</v>
      </c>
      <c r="J382" s="4">
        <v>6824</v>
      </c>
    </row>
    <row r="383" spans="1:13" x14ac:dyDescent="0.2">
      <c r="A383" s="3">
        <v>161</v>
      </c>
      <c r="B383" s="3">
        <v>359</v>
      </c>
      <c r="C383" s="1">
        <v>46070</v>
      </c>
      <c r="D383" t="s">
        <v>298</v>
      </c>
      <c r="E383" t="s">
        <v>391</v>
      </c>
      <c r="F383" t="s">
        <v>124</v>
      </c>
      <c r="G383" t="s">
        <v>309</v>
      </c>
      <c r="H383" t="s">
        <v>432</v>
      </c>
      <c r="J383" s="4">
        <v>6530</v>
      </c>
    </row>
    <row r="384" spans="1:13" x14ac:dyDescent="0.2">
      <c r="A384" s="3">
        <v>161</v>
      </c>
      <c r="B384" s="3">
        <v>360</v>
      </c>
      <c r="C384" s="1">
        <v>46072</v>
      </c>
      <c r="D384" t="s">
        <v>418</v>
      </c>
      <c r="E384" t="s">
        <v>391</v>
      </c>
      <c r="F384" t="s">
        <v>353</v>
      </c>
      <c r="G384" t="s">
        <v>309</v>
      </c>
      <c r="H384" t="s">
        <v>433</v>
      </c>
      <c r="J384" s="4">
        <v>6780</v>
      </c>
    </row>
    <row r="385" spans="1:13" x14ac:dyDescent="0.2">
      <c r="A385" s="3">
        <v>161</v>
      </c>
      <c r="B385" s="3">
        <v>361</v>
      </c>
      <c r="C385" s="1">
        <v>46074</v>
      </c>
      <c r="D385" t="s">
        <v>298</v>
      </c>
      <c r="E385" t="s">
        <v>391</v>
      </c>
      <c r="F385" t="s">
        <v>124</v>
      </c>
      <c r="G385" t="s">
        <v>309</v>
      </c>
      <c r="H385" t="s">
        <v>434</v>
      </c>
      <c r="J385" s="4">
        <v>7084</v>
      </c>
    </row>
    <row r="386" spans="1:13" x14ac:dyDescent="0.2">
      <c r="A386" s="3">
        <v>161</v>
      </c>
      <c r="B386" s="3">
        <v>362</v>
      </c>
      <c r="C386" s="1">
        <v>46079</v>
      </c>
      <c r="D386" t="s">
        <v>418</v>
      </c>
      <c r="E386" t="s">
        <v>391</v>
      </c>
      <c r="F386" t="s">
        <v>326</v>
      </c>
      <c r="G386" t="s">
        <v>309</v>
      </c>
      <c r="H386" t="s">
        <v>435</v>
      </c>
      <c r="J386" s="4">
        <v>7733</v>
      </c>
    </row>
    <row r="387" spans="1:13" x14ac:dyDescent="0.2">
      <c r="A387" s="3">
        <v>161</v>
      </c>
      <c r="B387" s="3">
        <v>363</v>
      </c>
      <c r="C387" s="1">
        <v>46081</v>
      </c>
      <c r="D387" t="s">
        <v>392</v>
      </c>
      <c r="E387" t="s">
        <v>391</v>
      </c>
      <c r="F387" t="s">
        <v>124</v>
      </c>
      <c r="G387" t="s">
        <v>309</v>
      </c>
      <c r="H387" t="s">
        <v>436</v>
      </c>
      <c r="J387" s="4">
        <v>6673</v>
      </c>
    </row>
    <row r="388" spans="1:13" x14ac:dyDescent="0.2">
      <c r="A388" s="3">
        <v>162</v>
      </c>
      <c r="B388" s="3">
        <v>252</v>
      </c>
      <c r="C388" s="1">
        <v>46087</v>
      </c>
      <c r="D388" t="s">
        <v>134</v>
      </c>
      <c r="E388" t="s">
        <v>187</v>
      </c>
      <c r="F388" t="s">
        <v>437</v>
      </c>
      <c r="G388" t="s">
        <v>39</v>
      </c>
      <c r="H388" t="s">
        <v>21</v>
      </c>
      <c r="I388" t="s">
        <v>22</v>
      </c>
      <c r="J388" s="4">
        <v>28000</v>
      </c>
    </row>
    <row r="389" spans="1:13" x14ac:dyDescent="0.2">
      <c r="A389" s="3">
        <v>162</v>
      </c>
      <c r="B389" s="3">
        <v>253</v>
      </c>
      <c r="C389" s="1">
        <v>46087</v>
      </c>
      <c r="D389" t="s">
        <v>134</v>
      </c>
      <c r="E389" t="s">
        <v>437</v>
      </c>
      <c r="F389" t="s">
        <v>187</v>
      </c>
      <c r="G389" t="s">
        <v>39</v>
      </c>
      <c r="H389" t="s">
        <v>21</v>
      </c>
      <c r="I389" t="s">
        <v>22</v>
      </c>
    </row>
    <row r="390" spans="1:13" x14ac:dyDescent="0.2">
      <c r="A390" s="3">
        <v>162</v>
      </c>
      <c r="M390" s="4">
        <v>150</v>
      </c>
    </row>
    <row r="391" spans="1:13" x14ac:dyDescent="0.2">
      <c r="A391" s="3">
        <v>163</v>
      </c>
      <c r="B391" s="3">
        <v>254</v>
      </c>
      <c r="C391" s="1">
        <v>46088</v>
      </c>
      <c r="D391" t="s">
        <v>438</v>
      </c>
      <c r="E391" t="s">
        <v>99</v>
      </c>
      <c r="F391" t="s">
        <v>439</v>
      </c>
      <c r="G391" t="s">
        <v>39</v>
      </c>
      <c r="H391" t="s">
        <v>21</v>
      </c>
      <c r="I391" t="s">
        <v>22</v>
      </c>
      <c r="J391" s="4">
        <v>43000</v>
      </c>
    </row>
    <row r="392" spans="1:13" x14ac:dyDescent="0.2">
      <c r="A392" s="3">
        <v>163</v>
      </c>
      <c r="K392" t="s">
        <v>440</v>
      </c>
      <c r="L392" s="4">
        <v>2000</v>
      </c>
    </row>
    <row r="393" spans="1:13" x14ac:dyDescent="0.2">
      <c r="A393" s="3">
        <v>163</v>
      </c>
      <c r="M393" s="4">
        <v>150</v>
      </c>
    </row>
    <row r="394" spans="1:13" x14ac:dyDescent="0.2">
      <c r="A394" s="3">
        <v>164</v>
      </c>
      <c r="B394" s="3">
        <v>255</v>
      </c>
      <c r="C394" s="1">
        <v>46091</v>
      </c>
      <c r="D394" t="s">
        <v>441</v>
      </c>
      <c r="E394" t="s">
        <v>187</v>
      </c>
      <c r="F394" t="s">
        <v>439</v>
      </c>
      <c r="G394" t="s">
        <v>39</v>
      </c>
      <c r="H394" t="s">
        <v>21</v>
      </c>
      <c r="I394" t="s">
        <v>22</v>
      </c>
      <c r="J394" s="4">
        <v>30000</v>
      </c>
    </row>
    <row r="395" spans="1:13" x14ac:dyDescent="0.2">
      <c r="A395" s="3">
        <v>164</v>
      </c>
      <c r="M395" s="4">
        <v>150</v>
      </c>
    </row>
    <row r="396" spans="1:13" x14ac:dyDescent="0.2">
      <c r="A396" s="3">
        <v>165</v>
      </c>
      <c r="B396" s="3">
        <v>256</v>
      </c>
      <c r="C396" s="1">
        <v>46095</v>
      </c>
      <c r="D396" t="s">
        <v>442</v>
      </c>
      <c r="E396" t="s">
        <v>28</v>
      </c>
      <c r="F396" t="s">
        <v>215</v>
      </c>
      <c r="G396" t="s">
        <v>30</v>
      </c>
      <c r="H396" t="s">
        <v>21</v>
      </c>
      <c r="I396" t="s">
        <v>22</v>
      </c>
      <c r="J396" s="4">
        <v>45000</v>
      </c>
    </row>
    <row r="397" spans="1:13" x14ac:dyDescent="0.2">
      <c r="A397" s="3">
        <v>165</v>
      </c>
      <c r="M397" s="4">
        <v>150</v>
      </c>
    </row>
    <row r="398" spans="1:13" x14ac:dyDescent="0.2">
      <c r="A398" s="3">
        <v>166</v>
      </c>
      <c r="B398" s="3">
        <v>257</v>
      </c>
      <c r="C398" s="1">
        <v>46100</v>
      </c>
      <c r="D398" t="s">
        <v>441</v>
      </c>
      <c r="E398" t="s">
        <v>155</v>
      </c>
      <c r="F398" t="s">
        <v>187</v>
      </c>
      <c r="G398" t="s">
        <v>39</v>
      </c>
      <c r="H398" t="s">
        <v>21</v>
      </c>
      <c r="I398" t="s">
        <v>22</v>
      </c>
      <c r="J398" s="4">
        <v>16000</v>
      </c>
    </row>
    <row r="399" spans="1:13" x14ac:dyDescent="0.2">
      <c r="A399" s="3">
        <v>166</v>
      </c>
      <c r="M399" s="4">
        <v>150</v>
      </c>
    </row>
    <row r="400" spans="1:13" x14ac:dyDescent="0.2">
      <c r="A400" s="3">
        <v>167</v>
      </c>
      <c r="B400" s="3">
        <v>364</v>
      </c>
      <c r="C400" s="1">
        <v>46082</v>
      </c>
      <c r="D400" t="s">
        <v>418</v>
      </c>
      <c r="E400" t="s">
        <v>391</v>
      </c>
      <c r="F400" t="s">
        <v>124</v>
      </c>
      <c r="G400" t="s">
        <v>309</v>
      </c>
      <c r="H400" t="s">
        <v>443</v>
      </c>
      <c r="J400" s="4">
        <v>7271</v>
      </c>
    </row>
    <row r="401" spans="1:10" x14ac:dyDescent="0.2">
      <c r="A401" s="3">
        <v>167</v>
      </c>
      <c r="B401" s="3">
        <v>365</v>
      </c>
      <c r="C401" s="1">
        <v>46082</v>
      </c>
      <c r="D401" t="s">
        <v>298</v>
      </c>
      <c r="E401" t="s">
        <v>391</v>
      </c>
      <c r="F401" t="s">
        <v>124</v>
      </c>
      <c r="G401" t="s">
        <v>309</v>
      </c>
      <c r="H401" t="s">
        <v>444</v>
      </c>
      <c r="J401" s="4">
        <v>6691</v>
      </c>
    </row>
    <row r="402" spans="1:10" x14ac:dyDescent="0.2">
      <c r="A402" s="3">
        <v>167</v>
      </c>
      <c r="B402" s="3">
        <v>366</v>
      </c>
      <c r="C402" s="1">
        <v>46086</v>
      </c>
      <c r="D402" t="s">
        <v>392</v>
      </c>
      <c r="E402" t="s">
        <v>391</v>
      </c>
      <c r="F402" t="s">
        <v>462</v>
      </c>
      <c r="G402" t="s">
        <v>309</v>
      </c>
      <c r="H402" t="s">
        <v>445</v>
      </c>
      <c r="J402" s="4">
        <v>6839</v>
      </c>
    </row>
    <row r="403" spans="1:10" x14ac:dyDescent="0.2">
      <c r="A403" s="3">
        <v>167</v>
      </c>
      <c r="B403" s="3">
        <v>367</v>
      </c>
      <c r="C403" s="1">
        <v>46087</v>
      </c>
      <c r="D403" t="s">
        <v>461</v>
      </c>
      <c r="E403" t="s">
        <v>391</v>
      </c>
      <c r="F403" t="s">
        <v>124</v>
      </c>
      <c r="G403" t="s">
        <v>309</v>
      </c>
      <c r="H403" t="s">
        <v>446</v>
      </c>
      <c r="J403" s="4">
        <v>7685</v>
      </c>
    </row>
    <row r="404" spans="1:10" x14ac:dyDescent="0.2">
      <c r="A404" s="3">
        <v>167</v>
      </c>
      <c r="B404" s="3">
        <v>368</v>
      </c>
      <c r="C404" s="1">
        <v>46089</v>
      </c>
      <c r="D404" t="s">
        <v>417</v>
      </c>
      <c r="E404" t="s">
        <v>391</v>
      </c>
      <c r="F404" t="s">
        <v>124</v>
      </c>
      <c r="G404" t="s">
        <v>309</v>
      </c>
      <c r="H404" t="s">
        <v>447</v>
      </c>
      <c r="J404" s="4">
        <v>6905</v>
      </c>
    </row>
    <row r="405" spans="1:10" x14ac:dyDescent="0.2">
      <c r="A405" s="3">
        <v>167</v>
      </c>
      <c r="B405" s="3">
        <v>369</v>
      </c>
      <c r="C405" s="1">
        <v>46090</v>
      </c>
      <c r="D405" t="s">
        <v>392</v>
      </c>
      <c r="E405" t="s">
        <v>391</v>
      </c>
      <c r="F405" t="s">
        <v>414</v>
      </c>
      <c r="G405" t="s">
        <v>309</v>
      </c>
      <c r="H405" t="s">
        <v>448</v>
      </c>
      <c r="J405" s="4">
        <v>7100</v>
      </c>
    </row>
    <row r="406" spans="1:10" x14ac:dyDescent="0.2">
      <c r="A406" s="3">
        <v>167</v>
      </c>
      <c r="B406" s="3">
        <v>370</v>
      </c>
      <c r="C406" s="1">
        <v>46122</v>
      </c>
      <c r="D406" t="s">
        <v>298</v>
      </c>
      <c r="E406" t="s">
        <v>391</v>
      </c>
      <c r="F406" t="s">
        <v>462</v>
      </c>
      <c r="G406" t="s">
        <v>309</v>
      </c>
      <c r="H406" t="s">
        <v>449</v>
      </c>
      <c r="J406" s="4">
        <v>6286</v>
      </c>
    </row>
    <row r="407" spans="1:10" x14ac:dyDescent="0.2">
      <c r="A407" s="3">
        <v>167</v>
      </c>
      <c r="B407" s="3">
        <v>371</v>
      </c>
      <c r="C407" s="1">
        <v>46095</v>
      </c>
      <c r="D407" t="s">
        <v>392</v>
      </c>
      <c r="E407" t="s">
        <v>391</v>
      </c>
      <c r="F407" t="s">
        <v>124</v>
      </c>
      <c r="G407" t="s">
        <v>309</v>
      </c>
      <c r="H407" t="s">
        <v>450</v>
      </c>
      <c r="J407" s="4">
        <v>6937</v>
      </c>
    </row>
    <row r="408" spans="1:10" x14ac:dyDescent="0.2">
      <c r="A408" s="3">
        <v>167</v>
      </c>
      <c r="B408" s="3">
        <v>372</v>
      </c>
      <c r="C408" s="1">
        <v>46097</v>
      </c>
      <c r="D408" t="s">
        <v>392</v>
      </c>
      <c r="E408" t="s">
        <v>391</v>
      </c>
      <c r="F408" t="s">
        <v>463</v>
      </c>
      <c r="G408" t="s">
        <v>309</v>
      </c>
      <c r="H408" t="s">
        <v>451</v>
      </c>
      <c r="J408" s="4">
        <v>6680</v>
      </c>
    </row>
    <row r="409" spans="1:10" x14ac:dyDescent="0.2">
      <c r="A409" s="3">
        <v>167</v>
      </c>
      <c r="B409" s="3">
        <v>373</v>
      </c>
      <c r="C409" s="1">
        <v>46098</v>
      </c>
      <c r="D409" t="s">
        <v>418</v>
      </c>
      <c r="E409" t="s">
        <v>391</v>
      </c>
      <c r="F409" t="s">
        <v>462</v>
      </c>
      <c r="G409" t="s">
        <v>309</v>
      </c>
      <c r="H409" t="s">
        <v>452</v>
      </c>
      <c r="J409" s="4">
        <v>6641</v>
      </c>
    </row>
    <row r="410" spans="1:10" x14ac:dyDescent="0.2">
      <c r="A410" s="3">
        <v>167</v>
      </c>
      <c r="B410" s="3">
        <v>374</v>
      </c>
      <c r="C410" s="1">
        <v>46100</v>
      </c>
      <c r="D410" t="s">
        <v>361</v>
      </c>
      <c r="E410" t="s">
        <v>391</v>
      </c>
      <c r="F410" t="s">
        <v>464</v>
      </c>
      <c r="G410" t="s">
        <v>309</v>
      </c>
      <c r="H410" t="s">
        <v>453</v>
      </c>
      <c r="J410" s="4">
        <v>6732</v>
      </c>
    </row>
    <row r="411" spans="1:10" x14ac:dyDescent="0.2">
      <c r="A411" s="3">
        <v>167</v>
      </c>
      <c r="B411" s="3">
        <v>375</v>
      </c>
      <c r="C411" s="1">
        <v>46101</v>
      </c>
      <c r="D411" t="s">
        <v>417</v>
      </c>
      <c r="E411" t="s">
        <v>391</v>
      </c>
      <c r="F411" t="s">
        <v>462</v>
      </c>
      <c r="G411" t="s">
        <v>309</v>
      </c>
      <c r="H411" t="s">
        <v>454</v>
      </c>
      <c r="J411" s="4">
        <v>6600</v>
      </c>
    </row>
    <row r="412" spans="1:10" x14ac:dyDescent="0.2">
      <c r="A412" s="3">
        <v>167</v>
      </c>
      <c r="B412" s="3">
        <v>376</v>
      </c>
      <c r="C412" s="1">
        <v>46105</v>
      </c>
      <c r="D412" t="s">
        <v>392</v>
      </c>
      <c r="E412" t="s">
        <v>391</v>
      </c>
      <c r="F412" t="s">
        <v>124</v>
      </c>
      <c r="G412" t="s">
        <v>309</v>
      </c>
      <c r="H412" t="s">
        <v>455</v>
      </c>
      <c r="J412" s="4">
        <v>6764</v>
      </c>
    </row>
    <row r="413" spans="1:10" x14ac:dyDescent="0.2">
      <c r="A413" s="3">
        <v>167</v>
      </c>
      <c r="B413" s="3">
        <v>377</v>
      </c>
      <c r="C413" s="1">
        <v>46107</v>
      </c>
      <c r="D413" t="s">
        <v>298</v>
      </c>
      <c r="E413" t="s">
        <v>391</v>
      </c>
      <c r="F413" t="s">
        <v>414</v>
      </c>
      <c r="G413" t="s">
        <v>309</v>
      </c>
      <c r="H413" t="s">
        <v>456</v>
      </c>
      <c r="J413" s="4">
        <v>6891</v>
      </c>
    </row>
    <row r="414" spans="1:10" x14ac:dyDescent="0.2">
      <c r="A414" s="3">
        <v>167</v>
      </c>
      <c r="B414" s="3">
        <v>378</v>
      </c>
      <c r="C414" s="1">
        <v>46107</v>
      </c>
      <c r="D414" t="s">
        <v>418</v>
      </c>
      <c r="E414" t="s">
        <v>391</v>
      </c>
      <c r="F414" t="s">
        <v>463</v>
      </c>
      <c r="G414" t="s">
        <v>309</v>
      </c>
      <c r="H414" t="s">
        <v>457</v>
      </c>
      <c r="J414" s="4">
        <v>6500</v>
      </c>
    </row>
    <row r="415" spans="1:10" x14ac:dyDescent="0.2">
      <c r="A415" s="3">
        <v>167</v>
      </c>
      <c r="B415" s="3">
        <v>379</v>
      </c>
      <c r="C415" s="1">
        <v>46108</v>
      </c>
      <c r="D415" t="s">
        <v>461</v>
      </c>
      <c r="E415" t="s">
        <v>391</v>
      </c>
      <c r="F415" t="s">
        <v>463</v>
      </c>
      <c r="G415" t="s">
        <v>309</v>
      </c>
      <c r="H415" t="s">
        <v>458</v>
      </c>
      <c r="J415" s="4">
        <v>6500</v>
      </c>
    </row>
    <row r="416" spans="1:10" x14ac:dyDescent="0.2">
      <c r="A416" s="3">
        <v>168</v>
      </c>
      <c r="B416" s="3">
        <v>380</v>
      </c>
      <c r="C416" s="1">
        <v>46108</v>
      </c>
      <c r="D416" t="s">
        <v>415</v>
      </c>
      <c r="E416" t="s">
        <v>391</v>
      </c>
      <c r="F416" t="s">
        <v>462</v>
      </c>
      <c r="G416" t="s">
        <v>309</v>
      </c>
      <c r="H416" t="s">
        <v>459</v>
      </c>
      <c r="J416" s="4">
        <v>7714</v>
      </c>
    </row>
    <row r="417" spans="1:13" x14ac:dyDescent="0.2">
      <c r="A417" s="3">
        <v>168</v>
      </c>
      <c r="B417" s="3">
        <v>381</v>
      </c>
      <c r="C417" s="1">
        <v>46112</v>
      </c>
      <c r="D417" t="s">
        <v>298</v>
      </c>
      <c r="E417" t="s">
        <v>391</v>
      </c>
      <c r="F417" t="s">
        <v>124</v>
      </c>
      <c r="G417" t="s">
        <v>309</v>
      </c>
      <c r="H417" t="s">
        <v>460</v>
      </c>
      <c r="J417" s="4">
        <v>7233</v>
      </c>
    </row>
    <row r="418" spans="1:13" x14ac:dyDescent="0.2">
      <c r="A418" s="3">
        <v>169</v>
      </c>
      <c r="B418" s="3">
        <v>258</v>
      </c>
      <c r="C418" s="1">
        <v>46105</v>
      </c>
      <c r="D418" t="s">
        <v>465</v>
      </c>
      <c r="E418" t="s">
        <v>466</v>
      </c>
      <c r="F418" t="s">
        <v>41</v>
      </c>
      <c r="G418" t="s">
        <v>472</v>
      </c>
      <c r="H418" t="s">
        <v>21</v>
      </c>
      <c r="I418" t="s">
        <v>22</v>
      </c>
      <c r="J418" s="4">
        <v>13000</v>
      </c>
    </row>
    <row r="419" spans="1:13" x14ac:dyDescent="0.2">
      <c r="A419" s="3">
        <v>169</v>
      </c>
      <c r="B419" s="3">
        <v>259</v>
      </c>
      <c r="C419" s="1">
        <v>46105</v>
      </c>
      <c r="D419" t="s">
        <v>465</v>
      </c>
      <c r="E419" t="s">
        <v>466</v>
      </c>
      <c r="F419" t="s">
        <v>97</v>
      </c>
      <c r="G419" t="s">
        <v>473</v>
      </c>
      <c r="H419" t="s">
        <v>21</v>
      </c>
      <c r="I419" t="s">
        <v>22</v>
      </c>
    </row>
    <row r="420" spans="1:13" x14ac:dyDescent="0.2">
      <c r="A420" s="3">
        <v>169</v>
      </c>
      <c r="M420" s="4">
        <v>150</v>
      </c>
    </row>
    <row r="421" spans="1:13" x14ac:dyDescent="0.2">
      <c r="A421" s="3">
        <v>170</v>
      </c>
      <c r="B421" s="3">
        <v>260</v>
      </c>
      <c r="C421" s="1">
        <v>46105</v>
      </c>
      <c r="D421" t="s">
        <v>261</v>
      </c>
      <c r="E421" t="s">
        <v>28</v>
      </c>
      <c r="F421" t="s">
        <v>83</v>
      </c>
      <c r="G421" t="s">
        <v>39</v>
      </c>
      <c r="H421" t="s">
        <v>21</v>
      </c>
      <c r="I421" t="s">
        <v>22</v>
      </c>
      <c r="J421" s="4">
        <v>13000</v>
      </c>
    </row>
    <row r="422" spans="1:13" x14ac:dyDescent="0.2">
      <c r="A422" s="3">
        <v>170</v>
      </c>
      <c r="M422" s="4">
        <v>150</v>
      </c>
    </row>
    <row r="423" spans="1:13" x14ac:dyDescent="0.2">
      <c r="A423" s="3">
        <v>171</v>
      </c>
      <c r="B423" s="3">
        <v>261</v>
      </c>
      <c r="C423" s="1">
        <v>46111</v>
      </c>
      <c r="D423" t="s">
        <v>467</v>
      </c>
      <c r="E423" t="s">
        <v>28</v>
      </c>
      <c r="F423" t="s">
        <v>468</v>
      </c>
      <c r="G423" t="s">
        <v>30</v>
      </c>
      <c r="H423" t="s">
        <v>21</v>
      </c>
      <c r="I423" t="s">
        <v>22</v>
      </c>
      <c r="J423" s="4">
        <v>98000</v>
      </c>
    </row>
    <row r="424" spans="1:13" x14ac:dyDescent="0.2">
      <c r="A424" s="3">
        <v>171</v>
      </c>
      <c r="M424" s="4">
        <v>150</v>
      </c>
    </row>
    <row r="425" spans="1:13" x14ac:dyDescent="0.2">
      <c r="A425" s="3">
        <v>172</v>
      </c>
      <c r="B425" s="3">
        <v>262</v>
      </c>
      <c r="C425" s="1">
        <v>46111</v>
      </c>
      <c r="D425" t="s">
        <v>469</v>
      </c>
      <c r="E425" t="s">
        <v>28</v>
      </c>
      <c r="F425" t="s">
        <v>232</v>
      </c>
      <c r="G425" t="s">
        <v>39</v>
      </c>
      <c r="H425" t="s">
        <v>21</v>
      </c>
      <c r="I425" t="s">
        <v>22</v>
      </c>
      <c r="J425" s="4">
        <v>27000</v>
      </c>
    </row>
    <row r="426" spans="1:13" x14ac:dyDescent="0.2">
      <c r="A426" s="3">
        <v>172</v>
      </c>
      <c r="M426" s="4">
        <v>150</v>
      </c>
    </row>
    <row r="427" spans="1:13" x14ac:dyDescent="0.2">
      <c r="A427" s="3">
        <v>173</v>
      </c>
      <c r="B427" s="3">
        <v>263</v>
      </c>
      <c r="C427" s="1">
        <v>46112</v>
      </c>
      <c r="D427" t="s">
        <v>470</v>
      </c>
      <c r="E427" t="s">
        <v>28</v>
      </c>
      <c r="F427" t="s">
        <v>20</v>
      </c>
      <c r="G427" t="s">
        <v>471</v>
      </c>
      <c r="H427" t="s">
        <v>21</v>
      </c>
      <c r="I427" t="s">
        <v>22</v>
      </c>
      <c r="J427" s="4">
        <v>11000</v>
      </c>
    </row>
    <row r="428" spans="1:13" x14ac:dyDescent="0.2">
      <c r="A428" s="3">
        <v>173</v>
      </c>
      <c r="M428" s="4">
        <v>150</v>
      </c>
    </row>
  </sheetData>
  <sortState xmlns:xlrd2="http://schemas.microsoft.com/office/spreadsheetml/2017/richdata2" ref="A1:M1">
    <sortCondition ref="A2"/>
    <sortCondition ref="C2"/>
  </sortState>
  <phoneticPr fontId="11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D4FDF-22E5-E647-8625-5BF419F7A599}">
  <sheetPr codeName="Sheet12">
    <pageSetUpPr fitToPage="1"/>
  </sheetPr>
  <dimension ref="A1:Q21"/>
  <sheetViews>
    <sheetView zoomScale="150" zoomScaleNormal="150" zoomScaleSheetLayoutView="169" workbookViewId="0">
      <selection sqref="A1:I1"/>
    </sheetView>
  </sheetViews>
  <sheetFormatPr baseColWidth="10" defaultRowHeight="16" x14ac:dyDescent="0.2"/>
  <cols>
    <col min="1" max="1" width="10" customWidth="1"/>
    <col min="2" max="2" width="10.5" bestFit="1" customWidth="1"/>
    <col min="3" max="3" width="10.6640625" customWidth="1"/>
    <col min="4" max="4" width="14.33203125" customWidth="1"/>
    <col min="5" max="5" width="15" customWidth="1"/>
    <col min="6" max="6" width="16.5" customWidth="1"/>
    <col min="9" max="9" width="12" customWidth="1"/>
  </cols>
  <sheetData>
    <row r="1" spans="1:17" x14ac:dyDescent="0.2">
      <c r="A1" s="69" t="s">
        <v>42</v>
      </c>
      <c r="B1" s="70"/>
      <c r="C1" s="70"/>
      <c r="D1" s="70"/>
      <c r="E1" s="70"/>
      <c r="F1" s="70"/>
      <c r="G1" s="70"/>
      <c r="H1" s="70"/>
      <c r="I1" s="71"/>
    </row>
    <row r="2" spans="1:17" ht="74" customHeight="1" thickBot="1" x14ac:dyDescent="0.25">
      <c r="A2" s="72"/>
      <c r="B2" s="73"/>
      <c r="C2" s="73"/>
      <c r="D2" s="73"/>
      <c r="E2" s="73"/>
      <c r="F2" s="73"/>
      <c r="G2" s="73"/>
      <c r="H2" s="73"/>
      <c r="I2" s="74"/>
    </row>
    <row r="3" spans="1:17" s="23" customFormat="1" ht="15" customHeight="1" x14ac:dyDescent="0.2">
      <c r="A3" s="75" t="s">
        <v>43</v>
      </c>
      <c r="B3" s="76"/>
      <c r="C3" s="77"/>
      <c r="D3" s="78"/>
      <c r="E3" s="78"/>
      <c r="F3" s="78"/>
      <c r="G3" s="79"/>
      <c r="H3" s="12" t="s">
        <v>44</v>
      </c>
      <c r="I3" s="13" t="s">
        <v>45</v>
      </c>
    </row>
    <row r="4" spans="1:17" s="23" customFormat="1" ht="22" customHeight="1" x14ac:dyDescent="0.2">
      <c r="A4" s="75"/>
      <c r="B4" s="76"/>
      <c r="C4" s="80"/>
      <c r="D4" s="81"/>
      <c r="E4" s="81"/>
      <c r="F4" s="81"/>
      <c r="G4" s="82"/>
      <c r="H4" s="14" t="s">
        <v>46</v>
      </c>
      <c r="I4" s="24"/>
    </row>
    <row r="5" spans="1:17" s="23" customFormat="1" thickBot="1" x14ac:dyDescent="0.25">
      <c r="A5" s="65" t="s">
        <v>47</v>
      </c>
      <c r="B5" s="66"/>
      <c r="C5" s="67"/>
      <c r="D5" s="67"/>
      <c r="E5" s="67"/>
      <c r="F5" s="67"/>
      <c r="G5" s="68"/>
      <c r="H5" s="15" t="s">
        <v>48</v>
      </c>
      <c r="I5" s="25"/>
    </row>
    <row r="6" spans="1:17" x14ac:dyDescent="0.2">
      <c r="A6" s="32" t="s">
        <v>49</v>
      </c>
      <c r="B6" s="33" t="s">
        <v>48</v>
      </c>
      <c r="C6" s="33" t="s">
        <v>50</v>
      </c>
      <c r="D6" s="33" t="s">
        <v>51</v>
      </c>
      <c r="E6" s="33" t="s">
        <v>52</v>
      </c>
      <c r="F6" s="33" t="s">
        <v>53</v>
      </c>
      <c r="G6" s="33" t="s">
        <v>54</v>
      </c>
      <c r="H6" s="33" t="s">
        <v>55</v>
      </c>
      <c r="I6" s="34" t="s">
        <v>56</v>
      </c>
      <c r="M6" s="26"/>
      <c r="N6" s="26"/>
      <c r="O6" s="26"/>
      <c r="P6" s="26"/>
      <c r="Q6" s="26"/>
    </row>
    <row r="7" spans="1:17" x14ac:dyDescent="0.2">
      <c r="A7" s="37"/>
      <c r="B7" s="38"/>
      <c r="C7" s="39"/>
      <c r="D7" s="41"/>
      <c r="E7" s="41"/>
      <c r="F7" s="41"/>
      <c r="G7" s="39"/>
      <c r="H7" s="39"/>
      <c r="I7" s="40"/>
      <c r="M7" s="27"/>
      <c r="N7" s="27"/>
      <c r="O7" s="27"/>
      <c r="P7" s="27"/>
      <c r="Q7" s="27"/>
    </row>
    <row r="8" spans="1:17" x14ac:dyDescent="0.2">
      <c r="A8" s="37"/>
      <c r="B8" s="38"/>
      <c r="C8" s="39"/>
      <c r="D8" s="41"/>
      <c r="E8" s="41"/>
      <c r="F8" s="41"/>
      <c r="G8" s="39"/>
      <c r="H8" s="39"/>
      <c r="I8" s="40"/>
    </row>
    <row r="9" spans="1:17" x14ac:dyDescent="0.2">
      <c r="A9" s="37"/>
      <c r="B9" s="38"/>
      <c r="C9" s="39"/>
      <c r="D9" s="41"/>
      <c r="E9" s="41"/>
      <c r="F9" s="41"/>
      <c r="G9" s="39"/>
      <c r="H9" s="39"/>
      <c r="I9" s="40"/>
    </row>
    <row r="10" spans="1:17" x14ac:dyDescent="0.2">
      <c r="A10" s="37"/>
      <c r="B10" s="38"/>
      <c r="C10" s="39"/>
      <c r="D10" s="41"/>
      <c r="E10" s="41"/>
      <c r="F10" s="41"/>
      <c r="G10" s="39"/>
      <c r="H10" s="39"/>
      <c r="I10" s="40"/>
    </row>
    <row r="11" spans="1:17" x14ac:dyDescent="0.2">
      <c r="A11" s="37"/>
      <c r="B11" s="38"/>
      <c r="C11" s="39"/>
      <c r="D11" s="41"/>
      <c r="E11" s="41"/>
      <c r="F11" s="41"/>
      <c r="G11" s="39"/>
      <c r="H11" s="39"/>
      <c r="I11" s="40"/>
    </row>
    <row r="12" spans="1:17" x14ac:dyDescent="0.2">
      <c r="A12" s="37"/>
      <c r="B12" s="38"/>
      <c r="C12" s="39"/>
      <c r="D12" s="41"/>
      <c r="E12" s="41"/>
      <c r="F12" s="41"/>
      <c r="G12" s="39"/>
      <c r="H12" s="39"/>
      <c r="I12" s="40"/>
    </row>
    <row r="13" spans="1:17" x14ac:dyDescent="0.2">
      <c r="A13" s="37"/>
      <c r="B13" s="38"/>
      <c r="C13" s="39"/>
      <c r="D13" s="41"/>
      <c r="E13" s="41"/>
      <c r="F13" s="41"/>
      <c r="G13" s="39"/>
      <c r="H13" s="39"/>
      <c r="I13" s="40"/>
    </row>
    <row r="14" spans="1:17" x14ac:dyDescent="0.2">
      <c r="A14" s="43" t="s">
        <v>12</v>
      </c>
      <c r="B14" s="44"/>
      <c r="C14" s="44"/>
      <c r="D14" s="44"/>
      <c r="E14" s="44"/>
      <c r="F14" s="44"/>
      <c r="G14" s="44"/>
      <c r="H14" s="44"/>
      <c r="I14" s="31"/>
    </row>
    <row r="15" spans="1:17" x14ac:dyDescent="0.2">
      <c r="A15" s="16" t="s">
        <v>57</v>
      </c>
      <c r="B15" s="17"/>
      <c r="C15" s="18"/>
      <c r="D15" s="18"/>
      <c r="E15" s="18"/>
      <c r="F15" s="18"/>
      <c r="G15" s="18"/>
      <c r="H15" s="19"/>
      <c r="I15" s="35">
        <f>SUM(Table33[[#All],[AMOUNT]])+I14</f>
        <v>0</v>
      </c>
    </row>
    <row r="16" spans="1:17" ht="17" thickBot="1" x14ac:dyDescent="0.25">
      <c r="A16" s="20" t="s">
        <v>58</v>
      </c>
      <c r="B16" s="45"/>
      <c r="C16" s="45"/>
      <c r="D16" s="45"/>
      <c r="E16" s="45"/>
      <c r="F16" s="45"/>
      <c r="G16" s="45"/>
      <c r="H16" s="45"/>
      <c r="I16" s="46"/>
    </row>
    <row r="17" spans="1:9" x14ac:dyDescent="0.2">
      <c r="A17" s="47" t="s">
        <v>59</v>
      </c>
      <c r="B17" s="48"/>
      <c r="C17" s="48"/>
      <c r="D17" s="49" t="s">
        <v>60</v>
      </c>
      <c r="E17" s="49"/>
      <c r="F17" s="49"/>
      <c r="G17" s="49"/>
      <c r="H17" s="51" t="s">
        <v>61</v>
      </c>
      <c r="I17" s="52"/>
    </row>
    <row r="18" spans="1:9" x14ac:dyDescent="0.2">
      <c r="A18" s="21" t="s">
        <v>62</v>
      </c>
      <c r="B18" s="55" t="s">
        <v>63</v>
      </c>
      <c r="C18" s="55"/>
      <c r="D18" s="50"/>
      <c r="E18" s="50"/>
      <c r="F18" s="50"/>
      <c r="G18" s="50"/>
      <c r="H18" s="53"/>
      <c r="I18" s="54"/>
    </row>
    <row r="19" spans="1:9" x14ac:dyDescent="0.2">
      <c r="A19" s="21" t="s">
        <v>64</v>
      </c>
      <c r="B19" s="56" t="s">
        <v>65</v>
      </c>
      <c r="C19" s="56"/>
      <c r="D19" s="50"/>
      <c r="E19" s="50"/>
      <c r="F19" s="50"/>
      <c r="G19" s="50"/>
      <c r="H19" s="57" t="s">
        <v>66</v>
      </c>
      <c r="I19" s="58"/>
    </row>
    <row r="20" spans="1:9" x14ac:dyDescent="0.2">
      <c r="A20" s="21" t="s">
        <v>67</v>
      </c>
      <c r="B20" s="55" t="s">
        <v>68</v>
      </c>
      <c r="C20" s="55"/>
      <c r="D20" s="63" t="s">
        <v>69</v>
      </c>
      <c r="E20" s="63"/>
      <c r="F20" s="63"/>
      <c r="G20" s="63"/>
      <c r="H20" s="59"/>
      <c r="I20" s="60"/>
    </row>
    <row r="21" spans="1:9" ht="17" thickBot="1" x14ac:dyDescent="0.25">
      <c r="A21" s="22" t="s">
        <v>44</v>
      </c>
      <c r="B21" s="42" t="s">
        <v>70</v>
      </c>
      <c r="C21" s="42"/>
      <c r="D21" s="64"/>
      <c r="E21" s="64"/>
      <c r="F21" s="64"/>
      <c r="G21" s="64"/>
      <c r="H21" s="61"/>
      <c r="I21" s="62"/>
    </row>
  </sheetData>
  <mergeCells count="18">
    <mergeCell ref="A5:B5"/>
    <mergeCell ref="C5:G5"/>
    <mergeCell ref="A1:I1"/>
    <mergeCell ref="A2:I2"/>
    <mergeCell ref="A3:B4"/>
    <mergeCell ref="C3:G3"/>
    <mergeCell ref="C4:G4"/>
    <mergeCell ref="B21:C21"/>
    <mergeCell ref="A14:H14"/>
    <mergeCell ref="B16:I16"/>
    <mergeCell ref="A17:C17"/>
    <mergeCell ref="D17:G19"/>
    <mergeCell ref="H17:I18"/>
    <mergeCell ref="B18:C18"/>
    <mergeCell ref="B19:C19"/>
    <mergeCell ref="H19:I21"/>
    <mergeCell ref="B20:C20"/>
    <mergeCell ref="D20:G21"/>
  </mergeCells>
  <pageMargins left="0.7" right="0.7" top="0.75" bottom="0.75" header="0.3" footer="0.3"/>
  <pageSetup paperSize="11" scale="76" orientation="landscape" horizontalDpi="0" verticalDpi="0"/>
  <headerFooter>
    <oddHeader>&amp;L
                                                           &amp;G</oddHeader>
  </headerFooter>
  <drawing r:id="rId1"/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Bill Details</vt:lpstr>
      <vt:lpstr>Order Details</vt:lpstr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Mishra</dc:creator>
  <cp:lastModifiedBy>Suyash Mishra</cp:lastModifiedBy>
  <cp:lastPrinted>2025-12-02T18:30:30Z</cp:lastPrinted>
  <dcterms:created xsi:type="dcterms:W3CDTF">2025-05-25T04:35:39Z</dcterms:created>
  <dcterms:modified xsi:type="dcterms:W3CDTF">2026-04-11T18:17:46Z</dcterms:modified>
</cp:coreProperties>
</file>